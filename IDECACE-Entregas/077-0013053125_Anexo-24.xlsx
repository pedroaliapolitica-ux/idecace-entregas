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Vanus\Downloads\"/>
    </mc:Choice>
  </mc:AlternateContent>
  <xr:revisionPtr revIDLastSave="0" documentId="13_ncr:1_{2F2091A4-693F-44B1-96E9-B16A54AAF0A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Justificativa Preç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G9" i="2" s="1"/>
  <c r="H8" i="2"/>
  <c r="G8" i="2" s="1"/>
  <c r="H6" i="2"/>
  <c r="G6" i="2" s="1"/>
  <c r="H5" i="2"/>
  <c r="G5" i="2" l="1"/>
</calcChain>
</file>

<file path=xl/sharedStrings.xml><?xml version="1.0" encoding="utf-8"?>
<sst xmlns="http://schemas.openxmlformats.org/spreadsheetml/2006/main" count="29" uniqueCount="24">
  <si>
    <t>Contrato Nº</t>
  </si>
  <si>
    <t>Contratante/Órgão</t>
  </si>
  <si>
    <t>Alunos Atendidos</t>
  </si>
  <si>
    <t>Custo Anual por Aluno</t>
  </si>
  <si>
    <t>Tipo Contrato</t>
  </si>
  <si>
    <t>Termo de Fomento</t>
  </si>
  <si>
    <t>MINISTÉRIO DA CIDADANIA</t>
  </si>
  <si>
    <t>Valor Liberado</t>
  </si>
  <si>
    <t>919912/2021</t>
  </si>
  <si>
    <t>GOVERNO DO AMAZONAS</t>
  </si>
  <si>
    <t>918664/2021</t>
  </si>
  <si>
    <t>MINISTÉRIO MMDH</t>
  </si>
  <si>
    <t>929566/2022</t>
  </si>
  <si>
    <t>OBSERVAÇÕES:</t>
  </si>
  <si>
    <t>Custo Mensal por Aluno</t>
  </si>
  <si>
    <t>Média Aluno ano</t>
  </si>
  <si>
    <t xml:space="preserve"> ALTERAÇÕES DE CUSTOS E  VALORES OCORREM DE ACORDO COM OS SERVIÇOS OFERTADOS / REGIÕES ATENDIDAS / DESLOCAMENTOS / Nº PROFESSORES E PROFISSIONAIS.</t>
  </si>
  <si>
    <t>02/2022/2024</t>
  </si>
  <si>
    <t>SECRETARIA DE ESTADO DE EDUCAÇÃO E CULTURA</t>
  </si>
  <si>
    <t>-</t>
  </si>
  <si>
    <t xml:space="preserve">MAPA DE PREÇOS - REFERÊNCIA DE VALORES </t>
  </si>
  <si>
    <t>XXX-2024</t>
  </si>
  <si>
    <t>GOVERNO DO DISTRITO FEDERAL</t>
  </si>
  <si>
    <t>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</si>
</sst>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7" formatCode="_-[$R$-416]\ * #,##0.00_-;\-[$R$-416]\ * #,##0.00_-;_-[$R$-416]\ 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sz val="11"/>
      <color theme="1"/>
      <name val="Century Gothic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8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0" fillId="3" borderId="0" xfId="0" applyFill="1"/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164" fontId="1" fillId="0" borderId="17" xfId="0" applyNumberFormat="1" applyFont="1" applyBorder="1" applyAlignment="1">
      <alignment vertical="center"/>
    </xf>
    <xf numFmtId="44" fontId="0" fillId="3" borderId="0" xfId="0" applyNumberFormat="1" applyFill="1"/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167" fontId="7" fillId="4" borderId="20" xfId="0" applyNumberFormat="1" applyFont="1" applyFill="1" applyBorder="1" applyAlignment="1">
      <alignment horizontal="right" vertical="center" wrapText="1"/>
    </xf>
    <xf numFmtId="3" fontId="7" fillId="4" borderId="20" xfId="0" applyNumberFormat="1" applyFont="1" applyFill="1" applyBorder="1" applyAlignment="1">
      <alignment horizontal="center" vertical="center" wrapText="1"/>
    </xf>
    <xf numFmtId="44" fontId="7" fillId="4" borderId="21" xfId="1" applyFont="1" applyFill="1" applyBorder="1" applyAlignment="1">
      <alignment horizontal="center" vertical="center" wrapText="1"/>
    </xf>
    <xf numFmtId="8" fontId="2" fillId="5" borderId="22" xfId="0" applyNumberFormat="1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49" fontId="3" fillId="5" borderId="14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67" fontId="8" fillId="0" borderId="2" xfId="0" applyNumberFormat="1" applyFont="1" applyBorder="1" applyAlignment="1">
      <alignment horizontal="left" vertical="center" wrapText="1"/>
    </xf>
    <xf numFmtId="8" fontId="8" fillId="0" borderId="0" xfId="0" applyNumberFormat="1" applyFont="1"/>
    <xf numFmtId="0" fontId="2" fillId="4" borderId="18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"/>
  <sheetViews>
    <sheetView tabSelected="1" zoomScale="90" zoomScaleNormal="90" workbookViewId="0">
      <selection activeCell="B4" sqref="B4"/>
    </sheetView>
  </sheetViews>
  <sheetFormatPr defaultColWidth="11" defaultRowHeight="15.75" x14ac:dyDescent="0.25"/>
  <cols>
    <col min="1" max="1" width="7.75" customWidth="1"/>
    <col min="2" max="2" width="16.625" customWidth="1"/>
    <col min="3" max="3" width="26.875" customWidth="1"/>
    <col min="4" max="4" width="38.625" customWidth="1"/>
    <col min="5" max="5" width="20.375" customWidth="1"/>
    <col min="6" max="6" width="13.875" customWidth="1"/>
    <col min="7" max="8" width="15.75" customWidth="1"/>
    <col min="9" max="9" width="15.25" customWidth="1"/>
  </cols>
  <sheetData>
    <row r="1" spans="1:10" ht="39" customHeight="1" thickBo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7" customHeight="1" thickBot="1" x14ac:dyDescent="0.3">
      <c r="A2" s="15"/>
      <c r="B2" s="30" t="s">
        <v>20</v>
      </c>
      <c r="C2" s="31"/>
      <c r="D2" s="31"/>
      <c r="E2" s="31"/>
      <c r="F2" s="31"/>
      <c r="G2" s="31"/>
      <c r="H2" s="31"/>
      <c r="I2" s="32"/>
      <c r="J2" s="15"/>
    </row>
    <row r="3" spans="1:10" ht="37.5" customHeight="1" thickBot="1" x14ac:dyDescent="0.3">
      <c r="A3" s="15"/>
      <c r="B3" s="4" t="s">
        <v>0</v>
      </c>
      <c r="C3" s="5" t="s">
        <v>4</v>
      </c>
      <c r="D3" s="6" t="s">
        <v>1</v>
      </c>
      <c r="E3" s="7" t="s">
        <v>7</v>
      </c>
      <c r="F3" s="7" t="s">
        <v>2</v>
      </c>
      <c r="G3" s="8" t="s">
        <v>14</v>
      </c>
      <c r="H3" s="8" t="s">
        <v>3</v>
      </c>
      <c r="I3" s="8" t="s">
        <v>15</v>
      </c>
      <c r="J3" s="15"/>
    </row>
    <row r="4" spans="1:10" ht="45" customHeight="1" thickBot="1" x14ac:dyDescent="0.3">
      <c r="A4" s="15"/>
      <c r="B4" s="47" t="s">
        <v>21</v>
      </c>
      <c r="C4" s="28" t="s">
        <v>19</v>
      </c>
      <c r="D4" s="29" t="s">
        <v>18</v>
      </c>
      <c r="E4" s="36">
        <v>8549875.1199999992</v>
      </c>
      <c r="F4" s="37">
        <v>66670</v>
      </c>
      <c r="G4" s="38">
        <v>106.82</v>
      </c>
      <c r="H4" s="38">
        <v>1281</v>
      </c>
      <c r="I4" s="39">
        <v>1126.74</v>
      </c>
      <c r="J4" s="15"/>
    </row>
    <row r="5" spans="1:10" ht="22.9" customHeight="1" x14ac:dyDescent="0.25">
      <c r="A5" s="15"/>
      <c r="B5" s="9" t="s">
        <v>8</v>
      </c>
      <c r="C5" s="18" t="s">
        <v>5</v>
      </c>
      <c r="D5" s="12" t="s">
        <v>6</v>
      </c>
      <c r="E5" s="3">
        <v>1000000</v>
      </c>
      <c r="F5" s="21">
        <v>1061</v>
      </c>
      <c r="G5" s="3">
        <f>H5/12</f>
        <v>78.542255733584668</v>
      </c>
      <c r="H5" s="24">
        <f>E5/F5</f>
        <v>942.50706880301607</v>
      </c>
      <c r="I5" s="40"/>
      <c r="J5" s="15"/>
    </row>
    <row r="6" spans="1:10" ht="22.9" customHeight="1" x14ac:dyDescent="0.25">
      <c r="A6" s="15"/>
      <c r="B6" s="10" t="s">
        <v>10</v>
      </c>
      <c r="C6" s="17" t="s">
        <v>5</v>
      </c>
      <c r="D6" s="13" t="s">
        <v>11</v>
      </c>
      <c r="E6" s="1">
        <v>19600371</v>
      </c>
      <c r="F6" s="22">
        <v>15893</v>
      </c>
      <c r="G6" s="16">
        <f t="shared" ref="G6:G9" si="0">H6/12</f>
        <v>102.77255710061034</v>
      </c>
      <c r="H6" s="25">
        <f>E6/F6</f>
        <v>1233.270685207324</v>
      </c>
      <c r="I6" s="40"/>
      <c r="J6" s="15"/>
    </row>
    <row r="7" spans="1:10" ht="22.9" customHeight="1" x14ac:dyDescent="0.3">
      <c r="A7" s="15"/>
      <c r="B7" s="10" t="s">
        <v>23</v>
      </c>
      <c r="C7" s="43" t="s">
        <v>5</v>
      </c>
      <c r="D7" s="44" t="s">
        <v>22</v>
      </c>
      <c r="E7" s="45">
        <v>4700000</v>
      </c>
      <c r="F7" s="22">
        <v>5032</v>
      </c>
      <c r="G7" s="16">
        <v>77.84</v>
      </c>
      <c r="H7" s="46">
        <v>934.02</v>
      </c>
      <c r="I7" s="40"/>
      <c r="J7" s="15"/>
    </row>
    <row r="8" spans="1:10" ht="22.9" customHeight="1" x14ac:dyDescent="0.25">
      <c r="A8" s="15"/>
      <c r="B8" s="10" t="s">
        <v>17</v>
      </c>
      <c r="C8" s="17" t="s">
        <v>5</v>
      </c>
      <c r="D8" s="13" t="s">
        <v>9</v>
      </c>
      <c r="E8" s="1">
        <v>8549875.1199999992</v>
      </c>
      <c r="F8" s="22">
        <v>14743</v>
      </c>
      <c r="G8" s="16">
        <f t="shared" si="0"/>
        <v>48.327314205611692</v>
      </c>
      <c r="H8" s="25">
        <f>E8/F8</f>
        <v>579.92777046734034</v>
      </c>
      <c r="I8" s="40"/>
      <c r="J8" s="15"/>
    </row>
    <row r="9" spans="1:10" ht="22.9" customHeight="1" thickBot="1" x14ac:dyDescent="0.3">
      <c r="A9" s="15"/>
      <c r="B9" s="11" t="s">
        <v>12</v>
      </c>
      <c r="C9" s="19" t="s">
        <v>5</v>
      </c>
      <c r="D9" s="14" t="s">
        <v>6</v>
      </c>
      <c r="E9" s="2">
        <v>800000</v>
      </c>
      <c r="F9" s="23">
        <v>447</v>
      </c>
      <c r="G9" s="20">
        <f t="shared" si="0"/>
        <v>149.14243102162564</v>
      </c>
      <c r="H9" s="26">
        <f>E9/F9</f>
        <v>1789.7091722595078</v>
      </c>
      <c r="I9" s="41"/>
      <c r="J9" s="15"/>
    </row>
    <row r="10" spans="1:10" ht="9" customHeight="1" thickBo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30.75" customHeight="1" thickBot="1" x14ac:dyDescent="0.3">
      <c r="A11" s="15"/>
      <c r="B11" s="42" t="s">
        <v>13</v>
      </c>
      <c r="C11" s="33" t="s">
        <v>16</v>
      </c>
      <c r="D11" s="34"/>
      <c r="E11" s="34"/>
      <c r="F11" s="34"/>
      <c r="G11" s="34"/>
      <c r="H11" s="34"/>
      <c r="I11" s="35"/>
      <c r="J11" s="15"/>
    </row>
    <row r="12" spans="1:10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 ht="33" customHeight="1" x14ac:dyDescent="0.25">
      <c r="A13" s="15"/>
      <c r="B13" s="15"/>
      <c r="C13" s="15"/>
      <c r="D13" s="15"/>
      <c r="E13" s="15"/>
      <c r="F13" s="15"/>
      <c r="G13" s="15"/>
      <c r="H13" s="15"/>
      <c r="I13" s="27"/>
      <c r="J13" s="15"/>
    </row>
  </sheetData>
  <mergeCells count="3">
    <mergeCell ref="B2:I2"/>
    <mergeCell ref="C11:I11"/>
    <mergeCell ref="I4:I9"/>
  </mergeCells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Justificativa Preço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Vanuscka Maia</cp:lastModifiedBy>
  <cp:lastPrinted>2024-05-08T23:16:21Z</cp:lastPrinted>
  <dcterms:created xsi:type="dcterms:W3CDTF">2024-05-08T21:47:51Z</dcterms:created>
  <dcterms:modified xsi:type="dcterms:W3CDTF">2024-11-01T05:22:44Z</dcterms:modified>
</cp:coreProperties>
</file>
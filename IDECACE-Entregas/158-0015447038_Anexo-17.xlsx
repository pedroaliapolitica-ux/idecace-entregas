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idia HD 3/2025/Idecace 2020 - 2025/8. DNA DO BRASIL - Execução/11.Acre/Planilha Financeira/"/>
    </mc:Choice>
  </mc:AlternateContent>
  <xr:revisionPtr revIDLastSave="0" documentId="13_ncr:1_{04F3F760-B15C-F941-A83C-4AF52C865D21}" xr6:coauthVersionLast="47" xr6:coauthVersionMax="47" xr10:uidLastSave="{00000000-0000-0000-0000-000000000000}"/>
  <bookViews>
    <workbookView xWindow="340" yWindow="600" windowWidth="27180" windowHeight="16280" xr2:uid="{795B54CE-DB90-48FA-9979-CCEB462DDE70}"/>
  </bookViews>
  <sheets>
    <sheet name="Planilha Custos" sheetId="24" r:id="rId1"/>
    <sheet name="Cronograma" sheetId="26" r:id="rId2"/>
    <sheet name="RH - Equipe Técnica" sheetId="34" r:id="rId3"/>
    <sheet name="Escolas" sheetId="3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26" l="1"/>
  <c r="D101" i="24"/>
  <c r="E156" i="24"/>
  <c r="F125" i="24"/>
  <c r="D87" i="24" l="1"/>
  <c r="A13" i="24" l="1"/>
  <c r="A12" i="24"/>
  <c r="A11" i="24"/>
  <c r="A10" i="24"/>
  <c r="A9" i="24"/>
  <c r="A8" i="24"/>
  <c r="I17" i="30"/>
  <c r="H17" i="30"/>
  <c r="G17" i="30"/>
  <c r="F17" i="30"/>
  <c r="E17" i="30"/>
  <c r="D17" i="30"/>
  <c r="F21" i="24"/>
  <c r="D34" i="24" l="1"/>
  <c r="D145" i="24"/>
  <c r="D146" i="24" s="1"/>
  <c r="D100" i="24"/>
  <c r="D99" i="24"/>
  <c r="D98" i="24"/>
  <c r="D30" i="24"/>
  <c r="D31" i="24"/>
  <c r="D29" i="24"/>
  <c r="E113" i="24" l="1"/>
  <c r="N17" i="26" l="1"/>
  <c r="G35" i="24"/>
  <c r="G21" i="24"/>
  <c r="F19" i="24"/>
  <c r="D93" i="24"/>
  <c r="D81" i="24"/>
  <c r="D86" i="24"/>
  <c r="D83" i="24"/>
  <c r="D82" i="24"/>
  <c r="D84" i="24"/>
  <c r="D85" i="24"/>
  <c r="D92" i="24"/>
  <c r="D90" i="24"/>
  <c r="D89" i="24"/>
  <c r="D88" i="24"/>
  <c r="D94" i="24"/>
  <c r="D91" i="24"/>
  <c r="F107" i="24"/>
  <c r="E120" i="24"/>
  <c r="B9" i="26" l="1"/>
  <c r="C9" i="26" s="1"/>
  <c r="E118" i="24"/>
  <c r="E119" i="24"/>
  <c r="D161" i="24"/>
  <c r="D162" i="24" s="1"/>
  <c r="D163" i="24" s="1"/>
  <c r="D164" i="24" s="1"/>
  <c r="D165" i="24" s="1"/>
  <c r="D166" i="24" s="1"/>
  <c r="D167" i="24" s="1"/>
  <c r="F167" i="24" s="1"/>
  <c r="D43" i="24"/>
  <c r="E117" i="24"/>
  <c r="D36" i="24"/>
  <c r="E112" i="24"/>
  <c r="F42" i="24"/>
  <c r="F161" i="24" l="1"/>
  <c r="N44" i="26"/>
  <c r="N41" i="26"/>
  <c r="N40" i="26"/>
  <c r="F165" i="24" l="1"/>
  <c r="F163" i="24"/>
  <c r="F162" i="24"/>
  <c r="N10" i="26"/>
  <c r="N45" i="26"/>
  <c r="N34" i="26"/>
  <c r="N33" i="26"/>
  <c r="N29" i="26"/>
  <c r="N28" i="26"/>
  <c r="N26" i="26"/>
  <c r="N25" i="26"/>
  <c r="A23" i="26"/>
  <c r="A22" i="26"/>
  <c r="F166" i="24" l="1"/>
  <c r="F164" i="24"/>
  <c r="F168" i="24" l="1"/>
  <c r="B24" i="26" s="1"/>
  <c r="E24" i="26" s="1"/>
  <c r="B19" i="26" l="1"/>
  <c r="N19" i="26" s="1"/>
  <c r="G81" i="24" l="1"/>
  <c r="G125" i="24" l="1"/>
  <c r="G34" i="24" l="1"/>
  <c r="E18" i="26" s="1"/>
  <c r="G146" i="24"/>
  <c r="G145" i="24"/>
  <c r="G143" i="24"/>
  <c r="G142" i="24"/>
  <c r="G141" i="24"/>
  <c r="G140" i="24"/>
  <c r="G129" i="24"/>
  <c r="G127" i="24"/>
  <c r="G113" i="24"/>
  <c r="G109" i="24"/>
  <c r="E37" i="26" s="1"/>
  <c r="N37" i="26" s="1"/>
  <c r="F108" i="24"/>
  <c r="G108" i="24" s="1"/>
  <c r="B36" i="26" s="1"/>
  <c r="G107" i="24"/>
  <c r="C35" i="26" s="1"/>
  <c r="N35" i="26" s="1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33" i="24"/>
  <c r="G19" i="24"/>
  <c r="C7" i="26" s="1"/>
  <c r="F7" i="24"/>
  <c r="E115" i="24" l="1"/>
  <c r="E116" i="24"/>
  <c r="E114" i="24"/>
  <c r="G114" i="24" s="1"/>
  <c r="D134" i="24"/>
  <c r="G134" i="24" s="1"/>
  <c r="E111" i="24"/>
  <c r="G111" i="24" s="1"/>
  <c r="E110" i="24"/>
  <c r="G110" i="24" s="1"/>
  <c r="G116" i="24"/>
  <c r="G95" i="24"/>
  <c r="C31" i="26" s="1"/>
  <c r="N31" i="26" s="1"/>
  <c r="D7" i="26"/>
  <c r="N7" i="26" s="1"/>
  <c r="D9" i="26"/>
  <c r="E9" i="26" s="1"/>
  <c r="F9" i="26" s="1"/>
  <c r="C36" i="26"/>
  <c r="D36" i="26" s="1"/>
  <c r="E36" i="26" s="1"/>
  <c r="F36" i="26" s="1"/>
  <c r="G36" i="26" s="1"/>
  <c r="H36" i="26" s="1"/>
  <c r="I36" i="26" s="1"/>
  <c r="J36" i="26" s="1"/>
  <c r="K36" i="26" s="1"/>
  <c r="L36" i="26" s="1"/>
  <c r="M36" i="26" s="1"/>
  <c r="G18" i="26"/>
  <c r="I18" i="26" s="1"/>
  <c r="L18" i="26" s="1"/>
  <c r="G30" i="24"/>
  <c r="B21" i="26" s="1"/>
  <c r="N21" i="26" s="1"/>
  <c r="G42" i="24"/>
  <c r="G120" i="24"/>
  <c r="K38" i="26" s="1"/>
  <c r="D130" i="24"/>
  <c r="G130" i="24" s="1"/>
  <c r="G131" i="24" s="1"/>
  <c r="C39" i="26" s="1"/>
  <c r="N39" i="26" s="1"/>
  <c r="G115" i="24"/>
  <c r="G101" i="24"/>
  <c r="D26" i="24"/>
  <c r="G26" i="24" s="1"/>
  <c r="D28" i="24"/>
  <c r="D20" i="24"/>
  <c r="G20" i="24" s="1"/>
  <c r="D50" i="24"/>
  <c r="G50" i="24" s="1"/>
  <c r="D52" i="24"/>
  <c r="G52" i="24" s="1"/>
  <c r="D54" i="24"/>
  <c r="G54" i="24" s="1"/>
  <c r="D56" i="24"/>
  <c r="G56" i="24" s="1"/>
  <c r="D58" i="24"/>
  <c r="G58" i="24" s="1"/>
  <c r="D60" i="24"/>
  <c r="G60" i="24" s="1"/>
  <c r="D62" i="24"/>
  <c r="G62" i="24" s="1"/>
  <c r="D64" i="24"/>
  <c r="G64" i="24" s="1"/>
  <c r="D66" i="24"/>
  <c r="G66" i="24" s="1"/>
  <c r="D68" i="24"/>
  <c r="G68" i="24" s="1"/>
  <c r="D70" i="24"/>
  <c r="G70" i="24" s="1"/>
  <c r="D72" i="24"/>
  <c r="G72" i="24" s="1"/>
  <c r="D74" i="24"/>
  <c r="G74" i="24" s="1"/>
  <c r="D77" i="24"/>
  <c r="G77" i="24" s="1"/>
  <c r="G98" i="24"/>
  <c r="G100" i="24"/>
  <c r="G112" i="24"/>
  <c r="G118" i="24"/>
  <c r="G43" i="24"/>
  <c r="D144" i="24"/>
  <c r="G144" i="24" s="1"/>
  <c r="G147" i="24" s="1"/>
  <c r="B43" i="26" s="1"/>
  <c r="D27" i="24"/>
  <c r="G27" i="24" s="1"/>
  <c r="B13" i="26" s="1"/>
  <c r="N13" i="26" s="1"/>
  <c r="D51" i="24"/>
  <c r="G51" i="24" s="1"/>
  <c r="D53" i="24"/>
  <c r="G53" i="24" s="1"/>
  <c r="D55" i="24"/>
  <c r="G55" i="24" s="1"/>
  <c r="D57" i="24"/>
  <c r="G57" i="24" s="1"/>
  <c r="D59" i="24"/>
  <c r="G59" i="24" s="1"/>
  <c r="D61" i="24"/>
  <c r="G61" i="24" s="1"/>
  <c r="D63" i="24"/>
  <c r="G63" i="24" s="1"/>
  <c r="D65" i="24"/>
  <c r="G65" i="24" s="1"/>
  <c r="D67" i="24"/>
  <c r="G67" i="24" s="1"/>
  <c r="D69" i="24"/>
  <c r="G69" i="24" s="1"/>
  <c r="D71" i="24"/>
  <c r="G71" i="24" s="1"/>
  <c r="D73" i="24"/>
  <c r="G73" i="24" s="1"/>
  <c r="D75" i="24"/>
  <c r="G75" i="24" s="1"/>
  <c r="D76" i="24"/>
  <c r="G76" i="24" s="1"/>
  <c r="G99" i="24"/>
  <c r="G117" i="24"/>
  <c r="G119" i="24"/>
  <c r="C38" i="26" l="1"/>
  <c r="E38" i="26"/>
  <c r="H38" i="26" s="1"/>
  <c r="B12" i="26"/>
  <c r="N12" i="26" s="1"/>
  <c r="N36" i="26"/>
  <c r="C46" i="26"/>
  <c r="D46" i="26" s="1"/>
  <c r="E46" i="26" s="1"/>
  <c r="F46" i="26" s="1"/>
  <c r="G46" i="26" s="1"/>
  <c r="H46" i="26" s="1"/>
  <c r="I46" i="26" s="1"/>
  <c r="J46" i="26" s="1"/>
  <c r="K46" i="26" s="1"/>
  <c r="L46" i="26" s="1"/>
  <c r="M46" i="26" s="1"/>
  <c r="G9" i="26"/>
  <c r="G22" i="24"/>
  <c r="D8" i="26"/>
  <c r="C43" i="26"/>
  <c r="D43" i="26" s="1"/>
  <c r="E43" i="26" s="1"/>
  <c r="F43" i="26" s="1"/>
  <c r="G43" i="26" s="1"/>
  <c r="H43" i="26" s="1"/>
  <c r="I43" i="26" s="1"/>
  <c r="J43" i="26" s="1"/>
  <c r="K43" i="26" s="1"/>
  <c r="L43" i="26" s="1"/>
  <c r="M43" i="26" s="1"/>
  <c r="N18" i="26"/>
  <c r="G37" i="24"/>
  <c r="B23" i="26" s="1"/>
  <c r="N23" i="26" s="1"/>
  <c r="G36" i="24"/>
  <c r="B22" i="26" s="1"/>
  <c r="N22" i="26" s="1"/>
  <c r="G32" i="24"/>
  <c r="B20" i="26" s="1"/>
  <c r="N20" i="26" s="1"/>
  <c r="G44" i="24"/>
  <c r="B27" i="26" s="1"/>
  <c r="N27" i="26" s="1"/>
  <c r="G135" i="24"/>
  <c r="G121" i="24"/>
  <c r="G78" i="24"/>
  <c r="C30" i="26" s="1"/>
  <c r="N30" i="26" s="1"/>
  <c r="G28" i="24"/>
  <c r="B14" i="26" s="1"/>
  <c r="N14" i="26" s="1"/>
  <c r="F48" i="26" l="1"/>
  <c r="N46" i="26"/>
  <c r="D48" i="26"/>
  <c r="H9" i="26"/>
  <c r="N38" i="26"/>
  <c r="G136" i="24"/>
  <c r="E42" i="26"/>
  <c r="N43" i="26"/>
  <c r="E8" i="26"/>
  <c r="G31" i="24"/>
  <c r="B16" i="26" s="1"/>
  <c r="N16" i="26" s="1"/>
  <c r="G29" i="24"/>
  <c r="G38" i="24" l="1"/>
  <c r="H42" i="26"/>
  <c r="K42" i="26" s="1"/>
  <c r="G102" i="24"/>
  <c r="C32" i="26" s="1"/>
  <c r="B15" i="26"/>
  <c r="N15" i="26" s="1"/>
  <c r="I9" i="26"/>
  <c r="N8" i="26"/>
  <c r="H48" i="26" l="1"/>
  <c r="N42" i="26"/>
  <c r="N32" i="26"/>
  <c r="C48" i="26"/>
  <c r="J9" i="26"/>
  <c r="I48" i="26"/>
  <c r="G103" i="24"/>
  <c r="E170" i="24" s="1"/>
  <c r="G11" i="26"/>
  <c r="N11" i="26" s="1"/>
  <c r="B48" i="26" l="1"/>
  <c r="B49" i="26" s="1"/>
  <c r="E48" i="26"/>
  <c r="K9" i="26"/>
  <c r="J48" i="26"/>
  <c r="H49" i="26" s="1"/>
  <c r="G48" i="26"/>
  <c r="N24" i="26" l="1"/>
  <c r="E49" i="26"/>
  <c r="L9" i="26"/>
  <c r="K48" i="26"/>
  <c r="M9" i="26" l="1"/>
  <c r="M48" i="26" s="1"/>
  <c r="L48" i="26"/>
  <c r="N9" i="26" l="1"/>
  <c r="N48" i="26" s="1"/>
  <c r="K49" i="26"/>
  <c r="H52" i="26" l="1"/>
  <c r="E52" i="26"/>
  <c r="B53" i="26"/>
  <c r="B52" i="26"/>
  <c r="H53" i="26"/>
  <c r="K52" i="26"/>
  <c r="N52" i="26" l="1"/>
</calcChain>
</file>

<file path=xl/sharedStrings.xml><?xml version="1.0" encoding="utf-8"?>
<sst xmlns="http://schemas.openxmlformats.org/spreadsheetml/2006/main" count="466" uniqueCount="269">
  <si>
    <t>Unidade</t>
  </si>
  <si>
    <t>Valor Unitário</t>
  </si>
  <si>
    <t>Valor Total</t>
  </si>
  <si>
    <t>prestação serviços</t>
  </si>
  <si>
    <t>diária</t>
  </si>
  <si>
    <t xml:space="preserve">Artista Convidado </t>
  </si>
  <si>
    <t>mês</t>
  </si>
  <si>
    <t>SUB-TOTAL</t>
  </si>
  <si>
    <t>COMUNICAÇÃO SOCIAL</t>
  </si>
  <si>
    <t xml:space="preserve">unidade </t>
  </si>
  <si>
    <t>serviço</t>
  </si>
  <si>
    <t>unidade</t>
  </si>
  <si>
    <t>UNI</t>
  </si>
  <si>
    <t>uni</t>
  </si>
  <si>
    <t>Fita Métrica Corporal</t>
  </si>
  <si>
    <t>PAR</t>
  </si>
  <si>
    <t>KIT</t>
  </si>
  <si>
    <t>CONJUTO</t>
  </si>
  <si>
    <t>UNIDADES</t>
  </si>
  <si>
    <t>Gestor de Projetos</t>
  </si>
  <si>
    <t>Coordenador Regional</t>
  </si>
  <si>
    <t>Coordenador Metodologia (Educação Física)</t>
  </si>
  <si>
    <t>Pedagogo</t>
  </si>
  <si>
    <t>Psicólogo</t>
  </si>
  <si>
    <t>Assistente Social</t>
  </si>
  <si>
    <t>Nutricionista</t>
  </si>
  <si>
    <t>Dentista</t>
  </si>
  <si>
    <t>LITROS</t>
  </si>
  <si>
    <t>Passagens aéreas</t>
  </si>
  <si>
    <t>Qtde.</t>
  </si>
  <si>
    <t>Estrutura</t>
  </si>
  <si>
    <t>Escola</t>
  </si>
  <si>
    <t>Alunos</t>
  </si>
  <si>
    <t>PLANILHA DE CUSTOS</t>
  </si>
  <si>
    <t>Coordenador Pedagógico</t>
  </si>
  <si>
    <t>HOSPEDAGEM/QUARTO</t>
  </si>
  <si>
    <t>quantidade</t>
  </si>
  <si>
    <r>
      <rPr>
        <b/>
        <sz val="12"/>
        <color theme="1"/>
        <rFont val="Century Gothic"/>
        <family val="1"/>
      </rPr>
      <t xml:space="preserve">Impressão Autorização de Participação </t>
    </r>
    <r>
      <rPr>
        <sz val="12"/>
        <color theme="1"/>
        <rFont val="Century Gothic"/>
        <family val="1"/>
      </rPr>
      <t>- Papel couchê 150g, Formato A4.</t>
    </r>
  </si>
  <si>
    <r>
      <rPr>
        <b/>
        <sz val="12"/>
        <color theme="1"/>
        <rFont val="Century Gothic"/>
        <family val="1"/>
      </rPr>
      <t>Impressão de Crachás para identificação dos alunos no protocolo de detecção</t>
    </r>
    <r>
      <rPr>
        <sz val="12"/>
        <color theme="1"/>
        <rFont val="Century Gothic"/>
        <family val="1"/>
      </rPr>
      <t>. Formato: 10 x 15cm com furo e cordão - Papel couchê 250g</t>
    </r>
  </si>
  <si>
    <r>
      <rPr>
        <b/>
        <sz val="12"/>
        <color theme="1"/>
        <rFont val="Century Gothic"/>
        <family val="1"/>
      </rPr>
      <t>Impressão Laudos para entrega aos alunos</t>
    </r>
    <r>
      <rPr>
        <sz val="12"/>
        <color theme="1"/>
        <rFont val="Century Gothic"/>
        <family val="1"/>
      </rPr>
      <t>. Papel Couchê 300g - colorido. Formato: A4</t>
    </r>
  </si>
  <si>
    <r>
      <rPr>
        <b/>
        <sz val="12"/>
        <color theme="1"/>
        <rFont val="Century Gothic"/>
        <family val="1"/>
      </rPr>
      <t xml:space="preserve">Apresentação Metodologia </t>
    </r>
    <r>
      <rPr>
        <sz val="12"/>
        <color theme="1"/>
        <rFont val="Century Gothic"/>
        <family val="1"/>
      </rPr>
      <t>(Presencial - Carga Horária 4 horas)</t>
    </r>
  </si>
  <si>
    <r>
      <rPr>
        <b/>
        <sz val="12"/>
        <color theme="1"/>
        <rFont val="Century Gothic"/>
        <family val="1"/>
      </rPr>
      <t xml:space="preserve">Tecnologia e Desenvolvimento Talentos Esportivo </t>
    </r>
    <r>
      <rPr>
        <sz val="12"/>
        <color theme="1"/>
        <rFont val="Century Gothic"/>
        <family val="1"/>
      </rPr>
      <t xml:space="preserve"> (EAD / Carga Horária de 40 Horas)</t>
    </r>
  </si>
  <si>
    <r>
      <rPr>
        <b/>
        <sz val="12"/>
        <color theme="1"/>
        <rFont val="Century Gothic"/>
        <family val="1"/>
      </rPr>
      <t xml:space="preserve">Promoção e Defesa dos Direitos da Criança e do Adolescente </t>
    </r>
    <r>
      <rPr>
        <sz val="12"/>
        <color theme="1"/>
        <rFont val="Century Gothic"/>
        <family val="1"/>
      </rPr>
      <t>(EAD / Carga Horária de 40 Horas)</t>
    </r>
  </si>
  <si>
    <r>
      <rPr>
        <b/>
        <sz val="12"/>
        <color theme="1"/>
        <rFont val="Century Gothic"/>
        <family val="1"/>
      </rPr>
      <t>Pós-Graduação em Detecção e Desenvolvimento de Talentos  Esportivos na Infância e Adolescência</t>
    </r>
    <r>
      <rPr>
        <sz val="12"/>
        <color theme="1"/>
        <rFont val="Century Gothic"/>
        <family val="1"/>
      </rPr>
      <t xml:space="preserve"> – Reconhecido pelo MEC. 
(EAD / Carga Horária de 360 Horas).</t>
    </r>
  </si>
  <si>
    <r>
      <t xml:space="preserve">Palestrante Regional: </t>
    </r>
    <r>
      <rPr>
        <sz val="12"/>
        <color theme="1"/>
        <rFont val="Century Gothic"/>
        <family val="1"/>
      </rPr>
      <t>Palestras de conscientização/motivacionais nas escolas</t>
    </r>
  </si>
  <si>
    <r>
      <rPr>
        <b/>
        <sz val="12"/>
        <color theme="1"/>
        <rFont val="Century Gothic"/>
        <family val="1"/>
      </rPr>
      <t>Impressão de Carteirinha</t>
    </r>
    <r>
      <rPr>
        <sz val="12"/>
        <color theme="1"/>
        <rFont val="Century Gothic"/>
        <family val="1"/>
      </rPr>
      <t xml:space="preserve"> para identificação dos alunos. Produzida em PVC compactado 4/4 cores de 1mm.</t>
    </r>
  </si>
  <si>
    <t>Evento: Contendo todos os itens necessários para sua realização , tais como estruturas,sonorização, premiação , arbitragem , lanche e outros.</t>
  </si>
  <si>
    <t>Disponibilização</t>
  </si>
  <si>
    <t>Professores de Educação Física</t>
  </si>
  <si>
    <t>Gestores</t>
  </si>
  <si>
    <t>Coordenadores de Área</t>
  </si>
  <si>
    <t>Coordenadores de Ensino</t>
  </si>
  <si>
    <t>SISTEMA DE TECNOLOGIA</t>
  </si>
  <si>
    <t>LEVANTAMENTO DE DADOS</t>
  </si>
  <si>
    <r>
      <rPr>
        <b/>
        <sz val="12"/>
        <color theme="1"/>
        <rFont val="Century Gothic"/>
        <family val="1"/>
      </rPr>
      <t>Sistema de gestão da Informação</t>
    </r>
    <r>
      <rPr>
        <sz val="12"/>
        <color theme="1"/>
        <rFont val="Century Gothic"/>
        <family val="1"/>
      </rPr>
      <t xml:space="preserve"> e Indicadores Sociais. Plataformas digitais e Business Intelligence (B.I.) aptas à coleta e interpretação de métricas relacionadas as escolas de EMTI, bem como do acompanhamento sistemático dos alunos, garantindo que as informações não se percam e sejam de fácil acesso para ambas as partes; </t>
    </r>
  </si>
  <si>
    <t>Levantamento de Dados</t>
  </si>
  <si>
    <t>Sistema Tecnológico</t>
  </si>
  <si>
    <t>MATERIAIS ESPORTIVOS</t>
  </si>
  <si>
    <t>MATERIAIS ESPORTIVOS PARA AVALIAÇÃO DE ALUNOS</t>
  </si>
  <si>
    <t>CAMPANHA SOCIAL</t>
  </si>
  <si>
    <t>TOTAL CAMPANHA SOCIAL</t>
  </si>
  <si>
    <t>TOTAL COMPRA DE MATERIAIS</t>
  </si>
  <si>
    <t>MATERIAIS DE AVALIAÇÃO</t>
  </si>
  <si>
    <t>SUB-TOTAL EVENTO LANÇAMENTO</t>
  </si>
  <si>
    <r>
      <rPr>
        <b/>
        <sz val="12"/>
        <color theme="1"/>
        <rFont val="Century Gothic"/>
        <family val="1"/>
      </rPr>
      <t xml:space="preserve">Palestra de Atleta Convidado </t>
    </r>
    <r>
      <rPr>
        <sz val="12"/>
        <color theme="1"/>
        <rFont val="Century Gothic"/>
        <family val="1"/>
      </rPr>
      <t>- Naciconal</t>
    </r>
  </si>
  <si>
    <r>
      <rPr>
        <b/>
        <sz val="12"/>
        <color theme="1"/>
        <rFont val="Century Gothic"/>
        <family val="1"/>
      </rPr>
      <t xml:space="preserve">Palestra de Atleta Convidado </t>
    </r>
    <r>
      <rPr>
        <sz val="12"/>
        <color theme="1"/>
        <rFont val="Century Gothic"/>
        <family val="1"/>
      </rPr>
      <t>- Regional</t>
    </r>
  </si>
  <si>
    <t>EVENTOS ESPORTIVOS</t>
  </si>
  <si>
    <r>
      <rPr>
        <b/>
        <sz val="12"/>
        <color theme="1"/>
        <rFont val="Century Gothic"/>
        <family val="1"/>
      </rPr>
      <t xml:space="preserve">Colchonete unisex </t>
    </r>
    <r>
      <rPr>
        <sz val="12"/>
        <color theme="1"/>
        <rFont val="Century Gothic"/>
        <family val="1"/>
      </rPr>
      <t>para treinamento</t>
    </r>
  </si>
  <si>
    <r>
      <rPr>
        <b/>
        <sz val="12"/>
        <color theme="1"/>
        <rFont val="Century Gothic"/>
        <family val="1"/>
      </rPr>
      <t xml:space="preserve">Apito profissional bocal </t>
    </r>
    <r>
      <rPr>
        <sz val="12"/>
        <color theme="1"/>
        <rFont val="Century Gothic"/>
        <family val="1"/>
      </rPr>
      <t>de silicone. Alta intensidade, com dedal e bocal de silicone. Feito em polipropileno.</t>
    </r>
  </si>
  <si>
    <r>
      <rPr>
        <b/>
        <sz val="12"/>
        <color theme="1"/>
        <rFont val="Century Gothic"/>
        <family val="1"/>
      </rPr>
      <t>KIT de Cones Agilidade</t>
    </r>
    <r>
      <rPr>
        <sz val="12"/>
        <color theme="1"/>
        <rFont val="Century Gothic"/>
        <family val="1"/>
      </rPr>
      <t xml:space="preserve"> - 06 unidades - Material: Plástico Flexivel - Medida(AxL): 23 cm</t>
    </r>
  </si>
  <si>
    <r>
      <rPr>
        <b/>
        <sz val="12"/>
        <color theme="1"/>
        <rFont val="Century Gothic"/>
        <family val="1"/>
      </rPr>
      <t>Banco de Wells Portátil Matéria Prima:</t>
    </r>
    <r>
      <rPr>
        <sz val="12"/>
        <color theme="1"/>
        <rFont val="Century Gothic"/>
        <family val="1"/>
      </rPr>
      <t xml:space="preserve"> Alumínio e MDF com Revestimento - Dobrável, facilita o transporte - Portátil - Exclusivo sistema que permite a leitura do resultado diretamente no banco, sem uso de tabelas. - Fixação do suporte inferior magnetizado - Suporte de medição retrátil - Acompanha bolsa para transporte</t>
    </r>
  </si>
  <si>
    <r>
      <rPr>
        <b/>
        <sz val="12"/>
        <color theme="1"/>
        <rFont val="Century Gothic"/>
        <family val="1"/>
      </rPr>
      <t xml:space="preserve">Estadiômetro Profissional Portátil </t>
    </r>
    <r>
      <rPr>
        <sz val="12"/>
        <color theme="1"/>
        <rFont val="Century Gothic"/>
        <family val="1"/>
      </rPr>
      <t>- Matéria Prima: Alumínio Capacidade de Medição: 115 cm a 210 cm Tolerância: ±2 mm em 210 cm - Resolução: milímetros</t>
    </r>
  </si>
  <si>
    <r>
      <rPr>
        <b/>
        <sz val="12"/>
        <color theme="1"/>
        <rFont val="Century Gothic"/>
        <family val="1"/>
      </rPr>
      <t>Prancheta MDF A5 -</t>
    </r>
    <r>
      <rPr>
        <sz val="12"/>
        <color theme="1"/>
        <rFont val="Century Gothic"/>
        <family val="1"/>
      </rPr>
      <t xml:space="preserve"> Prendedor Wire ClipREF.: 110.0Prancheta em Madeira, possui um ótimo acabamento dos dois lados, com os cantos arredondados e prendedor metálico wire, mais moderno e eficiente.</t>
    </r>
  </si>
  <si>
    <r>
      <rPr>
        <b/>
        <sz val="12"/>
        <color theme="1"/>
        <rFont val="Century Gothic"/>
        <family val="1"/>
      </rPr>
      <t>Oxímetro de dedo  medidor saturação de oxigênio -</t>
    </r>
    <r>
      <rPr>
        <sz val="12"/>
        <color theme="1"/>
        <rFont val="Century Gothic"/>
        <family val="1"/>
      </rPr>
      <t xml:space="preserve"> Monitora os batimentos cardíacos e a oxigenação do sangue. Possui display digital. Autonomia de 20 horas de medição contínua com duas pilhas padrão AAA.</t>
    </r>
  </si>
  <si>
    <t>Oficinas de Qualificação Social</t>
  </si>
  <si>
    <r>
      <rPr>
        <b/>
        <sz val="12"/>
        <color theme="1"/>
        <rFont val="Century Gothic"/>
        <family val="1"/>
      </rPr>
      <t>Comunicação:</t>
    </r>
    <r>
      <rPr>
        <sz val="12"/>
        <color theme="1"/>
        <rFont val="Century Gothic"/>
        <family val="1"/>
      </rPr>
      <t xml:space="preserve"> Divulgação e sensibilização do público, desenvolvimento de conceito e criação layout, diagramação e finalização de peças publicitárias, criação de roteiros de vídeos e spots para rádio </t>
    </r>
  </si>
  <si>
    <r>
      <rPr>
        <b/>
        <sz val="12"/>
        <color theme="1"/>
        <rFont val="Century Gothic"/>
        <family val="1"/>
      </rPr>
      <t>Assessoria Imprensa:</t>
    </r>
    <r>
      <rPr>
        <sz val="12"/>
        <color theme="1"/>
        <rFont val="Century Gothic"/>
        <family val="1"/>
      </rPr>
      <t xml:space="preserve"> Contratação pessoa jurídica - Assessoria de imprensa para envio de (release) informações em formato de texto, ou áudio quando enviado para rádio, follow up com  repórteres e editores com o objetivo de oferecer uma pauta sobre o assunto.</t>
    </r>
  </si>
  <si>
    <r>
      <rPr>
        <b/>
        <sz val="12"/>
        <color theme="1"/>
        <rFont val="Century Gothic"/>
        <family val="1"/>
      </rPr>
      <t>Impressão de Banner</t>
    </r>
    <r>
      <rPr>
        <sz val="12"/>
        <color theme="1"/>
        <rFont val="Century Gothic"/>
        <family val="1"/>
      </rPr>
      <t xml:space="preserve"> em Lona vinílica, 180gr, com impressão 4/0, no formato 0,9 x 1,2m, acabamento ilhóis.</t>
    </r>
  </si>
  <si>
    <r>
      <rPr>
        <b/>
        <sz val="12"/>
        <color theme="1"/>
        <rFont val="Century Gothic"/>
        <family val="1"/>
      </rPr>
      <t xml:space="preserve">Impressão de Faixa </t>
    </r>
    <r>
      <rPr>
        <sz val="12"/>
        <color theme="1"/>
        <rFont val="Century Gothic"/>
        <family val="1"/>
      </rPr>
      <t>de Divulgação em Lona vinílica, 180gr, com impressão 4/0, no formato 3,0 x 0,8m, com acabamento em ilhóis.</t>
    </r>
  </si>
  <si>
    <r>
      <rPr>
        <b/>
        <sz val="12"/>
        <color theme="1"/>
        <rFont val="Century Gothic"/>
        <family val="1"/>
      </rPr>
      <t xml:space="preserve">Impressão de Pastas </t>
    </r>
    <r>
      <rPr>
        <sz val="12"/>
        <color theme="1"/>
        <rFont val="Century Gothic"/>
        <family val="1"/>
      </rPr>
      <t xml:space="preserve">para curso de capacitação para professores. Papel supremo 250g - Formato (cm) 44 x 31cm  aberta, com bolsa - 4 x 4 cores  - laminação brilho nacional.                                                                                    </t>
    </r>
  </si>
  <si>
    <r>
      <rPr>
        <b/>
        <sz val="12"/>
        <color theme="1"/>
        <rFont val="Century Gothic"/>
        <family val="1"/>
      </rPr>
      <t xml:space="preserve">Impressão Blocos </t>
    </r>
    <r>
      <rPr>
        <sz val="12"/>
        <color theme="1"/>
        <rFont val="Century Gothic"/>
        <family val="1"/>
      </rPr>
      <t>para curso de capacitação para professores. Capa e contra capa colorida - Papel couche 250g - miolo com 50 folhas (branca), Formato (cm) 15 x 21cm  acabamento aspiral.</t>
    </r>
  </si>
  <si>
    <t>Palestras de Capacitação</t>
  </si>
  <si>
    <t>SUB-TOTAL EVENTO ESPORTIVOS</t>
  </si>
  <si>
    <t>TOTAL FORMAÇÃO</t>
  </si>
  <si>
    <t>LOGÍSTICA</t>
  </si>
  <si>
    <t>Serviço</t>
  </si>
  <si>
    <t>Pesquisa Científica</t>
  </si>
  <si>
    <t>CURSOS DE FORMAÇÃO</t>
  </si>
  <si>
    <t>AQUISIÇÃO DE MATERIAIS E EQUIPAMENTOS</t>
  </si>
  <si>
    <r>
      <rPr>
        <b/>
        <sz val="12"/>
        <color theme="1"/>
        <rFont val="Century Gothic"/>
        <family val="1"/>
      </rPr>
      <t xml:space="preserve">Bola de Handebol Infantiil  h 1l </t>
    </r>
    <r>
      <rPr>
        <sz val="12"/>
        <color theme="1"/>
        <rFont val="Century Gothic"/>
        <family val="1"/>
      </rPr>
      <t xml:space="preserve"> trinta e dois gomos, costurada, confeccionada em pvc ou pu, diâmetro 49
a 51 cm, peso 230 a 270 gramas, câmara airbility, miolo slip system removível.</t>
    </r>
  </si>
  <si>
    <r>
      <rPr>
        <b/>
        <sz val="12"/>
        <color theme="1"/>
        <rFont val="Century Gothic"/>
        <family val="1"/>
      </rPr>
      <t>Bola de Vôlei Infantil TIPO 7.0 OU SIMILAR;</t>
    </r>
    <r>
      <rPr>
        <sz val="12"/>
        <color theme="1"/>
        <rFont val="Century Gothic"/>
        <family val="1"/>
      </rPr>
      <t xml:space="preserve"> Material: Sem Costura, Composição: PVC, Peso Aproximado: 260-280 gramas, Circunferência aproximada: 65 - 67 cm, Sistema: atrizada, Miolo removível e Lubrificado, Câmara Internal Latex, Indicado para : Jogo.</t>
    </r>
  </si>
  <si>
    <r>
      <rPr>
        <b/>
        <sz val="12"/>
        <color theme="1"/>
        <rFont val="Century Gothic"/>
        <family val="1"/>
      </rPr>
      <t>Cone de plástico tipo chapéu chinês,</t>
    </r>
    <r>
      <rPr>
        <sz val="12"/>
        <color theme="1"/>
        <rFont val="Century Gothic"/>
        <family val="1"/>
      </rPr>
      <t xml:space="preserve"> composto em PVC. Material resistente, leve e flexível. Tamanho: 20- 25 cm, Cor</t>
    </r>
  </si>
  <si>
    <r>
      <rPr>
        <b/>
        <sz val="12"/>
        <color theme="1"/>
        <rFont val="Century Gothic"/>
        <family val="1"/>
      </rPr>
      <t xml:space="preserve">Cone para treino. </t>
    </r>
    <r>
      <rPr>
        <sz val="12"/>
        <color theme="1"/>
        <rFont val="Century Gothic"/>
        <family val="1"/>
      </rPr>
      <t>Material: Borracha Sintética Flexível, Tamanho: 20- 25 cm, Cor: À escolher</t>
    </r>
  </si>
  <si>
    <r>
      <rPr>
        <b/>
        <sz val="12"/>
        <color theme="1"/>
        <rFont val="Century Gothic"/>
        <family val="1"/>
      </rPr>
      <t xml:space="preserve">Apito profissional bocal de silicone. </t>
    </r>
    <r>
      <rPr>
        <sz val="12"/>
        <color theme="1"/>
        <rFont val="Century Gothic"/>
        <family val="1"/>
      </rPr>
      <t>Alta intensidade, com dedal e bocal de silicone. Feito em polipropileno.</t>
    </r>
  </si>
  <si>
    <r>
      <rPr>
        <b/>
        <sz val="12"/>
        <color theme="1"/>
        <rFont val="Century Gothic"/>
        <family val="1"/>
      </rPr>
      <t xml:space="preserve">Rede para guardar bolas. </t>
    </r>
    <r>
      <rPr>
        <sz val="12"/>
        <color theme="1"/>
        <rFont val="Century Gothic"/>
        <family val="1"/>
      </rPr>
      <t>Material: Nylon. Características: com cordão de aperto deslizante. Capacidade: 10 a 14 bolas</t>
    </r>
  </si>
  <si>
    <r>
      <rPr>
        <b/>
        <sz val="12"/>
        <color theme="1"/>
        <rFont val="Century Gothic"/>
        <family val="1"/>
      </rPr>
      <t xml:space="preserve">Corda de Pular Indicado para </t>
    </r>
    <r>
      <rPr>
        <sz val="12"/>
        <color theme="1"/>
        <rFont val="Century Gothic"/>
        <family val="1"/>
      </rPr>
      <t>: Treinamento, ganho de Força e Resistência Muscular, auxilia Emagrecimento, condicionamento Físico, material:PVC, composição: Corda em PVC, manopla de espuma, dimensões Aproximadas: 2,75cm, importante: Sem Rolamento</t>
    </r>
  </si>
  <si>
    <r>
      <rPr>
        <b/>
        <sz val="12"/>
        <color theme="1"/>
        <rFont val="Century Gothic"/>
        <family val="1"/>
      </rPr>
      <t xml:space="preserve">Peteca oficial - </t>
    </r>
    <r>
      <rPr>
        <sz val="12"/>
        <color theme="1"/>
        <rFont val="Century Gothic"/>
        <family val="1"/>
      </rPr>
      <t>o diâmetro da base da peteca deve ter de 5 cm a 5,2 cm e sua altura deve ser de 20 cm incluindo as penas. o peso da peteca deve ser de 40 a 42 gramas, aproximadamente.as penas devem ser em número de quatro, montadas paralelamente duas a duas, de modo que o quadrado formado caiba num círculo ideal com diâmetro de 4 cm a 5 cm.as penas preferencialmente brancas, porém, podem ter outra coloração.a base deve ser construída com di scos de borracha, montados em camadas sobrepostas. macia, mais rápida e precisa; maior resistência e durabilidade; presilha plástica que permite a padroniz ação e o alinhamento perfeito das penas. selo branco para visualização em jogos noturnos</t>
    </r>
  </si>
  <si>
    <r>
      <rPr>
        <b/>
        <sz val="12"/>
        <color theme="1"/>
        <rFont val="Century Gothic"/>
        <family val="1"/>
      </rPr>
      <t xml:space="preserve">Jogo de Colete de Identificação c/ 12 unidades - CONJUNTO </t>
    </r>
    <r>
      <rPr>
        <sz val="12"/>
        <color theme="1"/>
        <rFont val="Century Gothic"/>
        <family val="1"/>
      </rPr>
      <t>- Colete Material: 100% Poliéster , Modelo: Dupla Face , Tamanho: Único , Uso: Tático , silkado</t>
    </r>
  </si>
  <si>
    <r>
      <rPr>
        <b/>
        <sz val="12"/>
        <color theme="1"/>
        <rFont val="Century Gothic"/>
        <family val="1"/>
      </rPr>
      <t>Placar –</t>
    </r>
    <r>
      <rPr>
        <sz val="12"/>
        <color theme="1"/>
        <rFont val="Century Gothic"/>
        <family val="1"/>
      </rPr>
      <t xml:space="preserve"> pvc rígido com sistema articulado. peso: 942g aproximadamente. dimensões(axlxp) montado: 22x39x19cm. ideal para futsal, tênis de mesa e vôlei. material bemresistente ou similar</t>
    </r>
  </si>
  <si>
    <r>
      <rPr>
        <b/>
        <sz val="12"/>
        <color theme="1"/>
        <rFont val="Century Gothic"/>
        <family val="1"/>
      </rPr>
      <t>Colchonete para ginástica</t>
    </r>
    <r>
      <rPr>
        <sz val="12"/>
        <color theme="1"/>
        <rFont val="Century Gothic"/>
        <family val="1"/>
      </rPr>
      <t xml:space="preserve"> confeccionado em espuma d-23, revestimento em bagum azul ou preto ou material similar, med aproximada .0,90x0,50x0,03m</t>
    </r>
  </si>
  <si>
    <t>Trena de Fita de 30 mts arco aberto</t>
  </si>
  <si>
    <t xml:space="preserve">Trena de Fita de 05 metros </t>
  </si>
  <si>
    <r>
      <rPr>
        <b/>
        <sz val="12"/>
        <color theme="1"/>
        <rFont val="Century Gothic"/>
        <family val="1"/>
      </rPr>
      <t xml:space="preserve">Balança Evolution Profissional  </t>
    </r>
    <r>
      <rPr>
        <sz val="12"/>
        <color theme="1"/>
        <rFont val="Century Gothic"/>
        <family val="1"/>
      </rPr>
      <t xml:space="preserve">  Indicação de classificação de peso Função de acionamento automático Função de desligamento automático Função de pesagem rápida Visor de LCD Black Light Alimentação: 04 pilhas AA - inclusas Visor de LCD 13,5' (O maior da categoria) Visor Black LightPeso da balança: Aproximadamente 2,015Kg - Tamanho da Balança: 35,5 x 34,5 x 3,5Cm</t>
    </r>
  </si>
  <si>
    <r>
      <rPr>
        <b/>
        <sz val="12"/>
        <color theme="1"/>
        <rFont val="Century Gothic"/>
        <family val="1"/>
      </rPr>
      <t xml:space="preserve">Dinamômetro de Pressão Manual Profissional </t>
    </r>
    <r>
      <rPr>
        <sz val="12"/>
        <color theme="1"/>
        <rFont val="Century Gothic"/>
        <family val="1"/>
      </rPr>
      <t xml:space="preserve"> Unidade de medidad kg/f  Captura automática da força máxima/armazenamento e releitura de resultados para diferentes usuários/design ergonômico/capacidade máxima: 90kg/198lb/divisão: 0.1kg/0.2lb/alimentação: 2x1.5v baterias AAA/exatidão:+-0.5kg/1lb/Ambiente de operação: temperatura 0~35° C;umidade relativa 30~90% U.R</t>
    </r>
  </si>
  <si>
    <r>
      <rPr>
        <b/>
        <sz val="12"/>
        <color theme="1"/>
        <rFont val="Century Gothic"/>
        <family val="1"/>
      </rPr>
      <t xml:space="preserve">Impressão de Flayer </t>
    </r>
    <r>
      <rPr>
        <sz val="12"/>
        <color theme="1"/>
        <rFont val="Century Gothic"/>
        <family val="1"/>
      </rPr>
      <t xml:space="preserve">formato A5 - Informativo/Orientações                       Papel couchê 115g, Formato 15x21cm, 4x4 cores frente e verso. </t>
    </r>
  </si>
  <si>
    <r>
      <t xml:space="preserve">Brinde: Chaveiro </t>
    </r>
    <r>
      <rPr>
        <sz val="12"/>
        <color theme="1"/>
        <rFont val="Century Gothic"/>
        <family val="1"/>
      </rPr>
      <t>Personalizado em formato de bolas (diversas modalidades)</t>
    </r>
  </si>
  <si>
    <r>
      <rPr>
        <b/>
        <sz val="12"/>
        <color theme="1"/>
        <rFont val="Century Gothic"/>
        <family val="1"/>
      </rPr>
      <t>Camisetas Personalizadas Alunos -</t>
    </r>
    <r>
      <rPr>
        <sz val="12"/>
        <color theme="1"/>
        <rFont val="Century Gothic"/>
        <family val="1"/>
      </rPr>
      <t xml:space="preserve"> camiseta confeccionada em malha pp 100% poliéster na cor branca, gola redonda, barra nas mangas, silk conforme layout, tamanho infantil e adulto</t>
    </r>
  </si>
  <si>
    <r>
      <rPr>
        <b/>
        <sz val="12"/>
        <color theme="1"/>
        <rFont val="Century Gothic"/>
        <family val="1"/>
      </rPr>
      <t>Camisetas Personalizadas Professores: estilo polo para professores de educação física</t>
    </r>
    <r>
      <rPr>
        <sz val="12"/>
        <color theme="1"/>
        <rFont val="Century Gothic"/>
        <family val="1"/>
      </rPr>
      <t xml:space="preserve"> personalizada  - equipe itinerante</t>
    </r>
  </si>
  <si>
    <r>
      <rPr>
        <b/>
        <sz val="12"/>
        <color theme="1"/>
        <rFont val="Century Gothic"/>
        <family val="1"/>
      </rPr>
      <t xml:space="preserve">Bola voleibol, </t>
    </r>
    <r>
      <rPr>
        <sz val="12"/>
        <color theme="1"/>
        <rFont val="Century Gothic"/>
        <family val="1"/>
      </rPr>
      <t>material: microfibra, peso cheia: 325 a 400 g, circunferência: 65 a 67 cm, características adicionais: matrizada, com miolo substituível, pressão: 03 - 04 lb, aplicação: volei de quadra,</t>
    </r>
  </si>
  <si>
    <r>
      <rPr>
        <b/>
        <sz val="12"/>
        <color theme="1"/>
        <rFont val="Century Gothic"/>
        <family val="1"/>
      </rPr>
      <t xml:space="preserve">Bomba para encher bola, </t>
    </r>
    <r>
      <rPr>
        <sz val="12"/>
        <color theme="1"/>
        <rFont val="Century Gothic"/>
        <family val="1"/>
      </rPr>
      <t>FABRICADA EM POLIPROPILENO (PP) RESISTENTE, COM TECNOLOGIA "DOUBLE ACTION" E BICO</t>
    </r>
  </si>
  <si>
    <r>
      <rPr>
        <b/>
        <sz val="12"/>
        <color theme="1"/>
        <rFont val="Century Gothic"/>
        <family val="1"/>
      </rPr>
      <t xml:space="preserve">Bola oficial 500 - Futsal  </t>
    </r>
    <r>
      <rPr>
        <sz val="12"/>
        <color theme="1"/>
        <rFont val="Century Gothic"/>
        <family val="1"/>
      </rPr>
      <t xml:space="preserve">Confeccionada em poliuretano. Diâmetro 61 - 64 cm, Peso 410- 440 G, Câmera Airbility feita em borracha butílica e Miolo Slip System removível e lubrificado, Termotec, absorção de água é de 0%, Material de alta qualidade no revestimento, no reforço e na câmara de ar para desempenho perfeito. </t>
    </r>
  </si>
  <si>
    <r>
      <rPr>
        <b/>
        <sz val="12"/>
        <color theme="1"/>
        <rFont val="Century Gothic"/>
        <family val="1"/>
      </rPr>
      <t xml:space="preserve">Bola oficial 200 -Futsal </t>
    </r>
    <r>
      <rPr>
        <sz val="12"/>
        <color theme="1"/>
        <rFont val="Century Gothic"/>
        <family val="1"/>
      </rPr>
      <t xml:space="preserve"> Confeccionada em poliuretano. Diâmetro 59-55cm, Peso 350-380G, câmera Airbility e Miolo Slip System removível, lubrificado, Termotec, com 0% absorção de água, alta durabilidade e maciez extra, Material de alta qualidade no revestimento, no reforço e na câmara de ar para desempenho perfeito.</t>
    </r>
  </si>
  <si>
    <r>
      <rPr>
        <b/>
        <sz val="12"/>
        <color theme="1"/>
        <rFont val="Century Gothic"/>
        <family val="1"/>
      </rPr>
      <t xml:space="preserve">Par de rede de Basquete - </t>
    </r>
    <r>
      <rPr>
        <sz val="12"/>
        <color theme="1"/>
        <rFont val="Century Gothic"/>
        <family val="1"/>
      </rPr>
      <t xml:space="preserve"> Descrição: Material: Fio Seda, Cor: Branca, Aplicação: Basquete, Características Adicionais: Malha Poliéster, Nó Duplo, Alta Resistência, Modelo: Oficial</t>
    </r>
  </si>
  <si>
    <r>
      <rPr>
        <b/>
        <sz val="12"/>
        <color theme="1"/>
        <rFont val="Century Gothic"/>
        <family val="1"/>
      </rPr>
      <t xml:space="preserve">Par de rede para Trave de Gol Futsal/handball </t>
    </r>
    <r>
      <rPr>
        <sz val="12"/>
        <color theme="1"/>
        <rFont val="Century Gothic"/>
        <family val="1"/>
      </rPr>
      <t>-Fio 2mm Nylon. Dimensões: 3,20m na largura, 2,10m de altura, 0,40m de recuo superior e 0,80m de recuo inferior;</t>
    </r>
  </si>
  <si>
    <r>
      <rPr>
        <b/>
        <sz val="12"/>
        <color theme="1"/>
        <rFont val="Century Gothic"/>
        <family val="1"/>
      </rPr>
      <t>Par Poste de Vôlei Oficial</t>
    </r>
    <r>
      <rPr>
        <sz val="12"/>
        <color theme="1"/>
        <rFont val="Century Gothic"/>
        <family val="1"/>
      </rPr>
      <t>, aprovado pela Confederação Brasileira de Voleibol (CBV), Perfil tubular metálico em aço carbono, com espessura mínima de 2 mm, no mínimo 2,55m de altura, na cor branca. Com um sistema ágil de regulagem e ajuste para todas as categorias, com Regulador telescópico, Catraca (cremalheira) em ferro fundido com manivela para regulagem da rede. Buchas de espera em PVC e rebaixo de superfície para receber a tampa de aço a nível do piso. Ganchos de segurança para rede</t>
    </r>
  </si>
  <si>
    <t xml:space="preserve">APRESENTAÇÃO E LANÇAMENTO </t>
  </si>
  <si>
    <r>
      <t>Ciração e produção de vídeo isntitucional  –</t>
    </r>
    <r>
      <rPr>
        <sz val="12"/>
        <color theme="1"/>
        <rFont val="Century Gothic"/>
        <family val="1"/>
      </rPr>
      <t xml:space="preserve"> Captação de imagens, locução, trilha branca, edição, montagem, pós-produção com motion, ajustes de cores e finalizações e demais componentes correlatos. </t>
    </r>
  </si>
  <si>
    <r>
      <t xml:space="preserve">Bola de Basquete Adulto -  </t>
    </r>
    <r>
      <rPr>
        <sz val="12"/>
        <color theme="1"/>
        <rFont val="Century Gothic"/>
        <family val="1"/>
      </rPr>
      <t xml:space="preserve">Bola oficial de basquetebol, tamanho masculino, matrizada, confeccionada com  borracha, câmara airbility, miolo slip system removível e lubrifica do tamanho 7 com 74,9 cm de diâmetro, pesando entre 567 e 624 gramas, </t>
    </r>
  </si>
  <si>
    <r>
      <t>Bola de Basquete Infantil Bola de Basquete (tamanho mirim),</t>
    </r>
    <r>
      <rPr>
        <sz val="12"/>
        <color theme="1"/>
        <rFont val="Century Gothic"/>
        <family val="1"/>
      </rPr>
      <t xml:space="preserve"> matrizada, confeccionada em borracha, câmara de ar em butil miolo de válvula removível peso aproximado: 300 a 500 gramas, Medida aproximada de circunferência 60 a 74cm.</t>
    </r>
  </si>
  <si>
    <r>
      <rPr>
        <b/>
        <sz val="12"/>
        <color theme="1"/>
        <rFont val="Century Gothic"/>
        <family val="1"/>
      </rPr>
      <t xml:space="preserve">REDE DE VOLEI Oficial </t>
    </r>
    <r>
      <rPr>
        <sz val="12"/>
        <color theme="1"/>
        <rFont val="Century Gothic"/>
        <family val="1"/>
      </rPr>
      <t>Confeccionada em fio de polipropileno com 2,0mm de espessura. Malha: 10 x 10cm. 2 lonas de algodão. Acom panha cordas laterais para instalação. Acompanha cabo de aço. Medida: 9,50 x 1,00 m</t>
    </r>
  </si>
  <si>
    <r>
      <rPr>
        <b/>
        <sz val="12"/>
        <color theme="1"/>
        <rFont val="Century Gothic"/>
        <family val="1"/>
      </rPr>
      <t>Kit com 8 estacas de agilidade</t>
    </r>
    <r>
      <rPr>
        <sz val="12"/>
        <color theme="1"/>
        <rFont val="Century Gothic"/>
        <family val="1"/>
      </rPr>
      <t xml:space="preserve"> com base, 1,60mts de altura, para treino, sem molas</t>
    </r>
  </si>
  <si>
    <r>
      <t>Tabuleiro xadrez escolar -</t>
    </r>
    <r>
      <rPr>
        <sz val="12"/>
        <color theme="1"/>
        <rFont val="Century Gothic"/>
        <family val="1"/>
      </rPr>
      <t>, material:madeira, tipo xadrez, aplicação:lazer e entretenimento, características adicionais com peças plásticas</t>
    </r>
  </si>
  <si>
    <r>
      <rPr>
        <b/>
        <sz val="12"/>
        <color theme="1"/>
        <rFont val="Century Gothic"/>
        <family val="1"/>
      </rPr>
      <t xml:space="preserve">Tabuleiro de dama escolar- </t>
    </r>
    <r>
      <rPr>
        <sz val="12"/>
        <color theme="1"/>
        <rFont val="Century Gothic"/>
        <family val="1"/>
      </rPr>
      <t>com 24 peças, tabuleiro em madeira mdf/MADEIRA; em dimensões mínimas 26cm x 26cm; (12 peças plásticas brancas e 12 peças pretas)</t>
    </r>
  </si>
  <si>
    <r>
      <rPr>
        <b/>
        <sz val="12"/>
        <color theme="1"/>
        <rFont val="Century Gothic"/>
        <family val="1"/>
      </rPr>
      <t xml:space="preserve">Arco  Bambolê ) </t>
    </r>
    <r>
      <rPr>
        <sz val="12"/>
        <color theme="1"/>
        <rFont val="Century Gothic"/>
        <family val="1"/>
      </rPr>
      <t>Material: Plástico , Diâmetro APROXIMADO: 0,63 M A 0,75, Aplicação: Práticas Esportivas</t>
    </r>
  </si>
  <si>
    <r>
      <t>Bola de Handebol Adulto  H3L, adulto masculino</t>
    </r>
    <r>
      <rPr>
        <sz val="12"/>
        <color theme="1"/>
        <rFont val="Century Gothic"/>
        <family val="1"/>
      </rPr>
      <t>, costurada, com 32 gomos, confeccionada em PU  ultra grip, miolo slip system removível e lubrificado, câmara arbility. Circunferência 58 a 60 cm, 425 a 475 g de peso.</t>
    </r>
  </si>
  <si>
    <r>
      <rPr>
        <b/>
        <sz val="12"/>
        <color theme="1"/>
        <rFont val="Century Gothic"/>
        <family val="1"/>
      </rPr>
      <t>Aquisição  de Cronometro digital:</t>
    </r>
    <r>
      <rPr>
        <sz val="12"/>
        <color theme="1"/>
        <rFont val="Century Gothic"/>
        <family val="1"/>
      </rPr>
      <t xml:space="preserve"> Contagem regressiva e progressiva com alarme; Alarme visual e sonoro ajustável; Programação de 1 segundo a 99 horas, 59 minutos e 59 segundos; Resolução: 1/100 segundos; ; Acompanhado de bateria de 1.5 VL. Dimensões: 61 x 71 x 25 mm;</t>
    </r>
  </si>
  <si>
    <r>
      <t>Escada de agilidade,</t>
    </r>
    <r>
      <rPr>
        <sz val="12"/>
        <color theme="1"/>
        <rFont val="Century Gothic"/>
        <family val="1"/>
      </rPr>
      <t xml:space="preserve"> descrição aproximada :confeccionada com material nylon e polipropileno, com 10 degraus </t>
    </r>
  </si>
  <si>
    <t>Mensal</t>
  </si>
  <si>
    <t>Itens</t>
  </si>
  <si>
    <r>
      <rPr>
        <b/>
        <sz val="12"/>
        <color theme="1"/>
        <rFont val="Century Gothic"/>
        <family val="1"/>
      </rPr>
      <t xml:space="preserve">Organização e produção do evento </t>
    </r>
    <r>
      <rPr>
        <sz val="12"/>
        <color theme="1"/>
        <rFont val="Century Gothic"/>
        <family val="1"/>
      </rPr>
      <t>de capacitação, avaliação das estruturas,  logisticas de transportes,  gerenciamento de qualidade, controle de projeto,  prazos e  gestão de risco.</t>
    </r>
  </si>
  <si>
    <r>
      <rPr>
        <b/>
        <sz val="12"/>
        <color theme="1"/>
        <rFont val="Century Gothic"/>
        <family val="1"/>
      </rPr>
      <t>Brindes</t>
    </r>
    <r>
      <rPr>
        <sz val="12"/>
        <color theme="1"/>
        <rFont val="Century Gothic"/>
        <family val="1"/>
      </rPr>
      <t xml:space="preserve">: </t>
    </r>
    <r>
      <rPr>
        <b/>
        <sz val="12"/>
        <color theme="1"/>
        <rFont val="Century Gothic"/>
        <family val="1"/>
      </rPr>
      <t xml:space="preserve">Lapís </t>
    </r>
    <r>
      <rPr>
        <sz val="12"/>
        <color theme="1"/>
        <rFont val="Century Gothic"/>
        <family val="1"/>
      </rPr>
      <t xml:space="preserve">estilizado com referência ao programa e esportes  - Corpo redondo em madeira; Traço HB; Adereço de Borracha/plástico ou material similar no topo em formato de itens esportivos </t>
    </r>
  </si>
  <si>
    <r>
      <rPr>
        <b/>
        <sz val="12"/>
        <color theme="1"/>
        <rFont val="Century Gothic"/>
        <family val="1"/>
      </rPr>
      <t>Impressão Cartilhas - Professores</t>
    </r>
    <r>
      <rPr>
        <sz val="12"/>
        <color theme="1"/>
        <rFont val="Century Gothic"/>
        <family val="1"/>
      </rPr>
      <t xml:space="preserve">
Capa e miolo papel couchê 90g - 12 Páginas, Formato (cm) 20.5 x 27.5 cm, 4 x 4 cores  - frente e verso   - Alceada e grampeada                                                                                                                             </t>
    </r>
  </si>
  <si>
    <r>
      <rPr>
        <b/>
        <sz val="12"/>
        <color theme="1"/>
        <rFont val="Century Gothic"/>
        <family val="1"/>
      </rPr>
      <t>Impressão Cartilhas - Gestores</t>
    </r>
    <r>
      <rPr>
        <sz val="12"/>
        <color theme="1"/>
        <rFont val="Century Gothic"/>
        <family val="1"/>
      </rPr>
      <t xml:space="preserve">
Capa e miolo papel couchê 90g - 12 Páginas, Formato (cm) 20.5 x 27.5 cm, 4 x 4 cores  - frente e verso      - Alceada e grampeada                                                                       </t>
    </r>
  </si>
  <si>
    <r>
      <rPr>
        <b/>
        <sz val="12"/>
        <color theme="1"/>
        <rFont val="Century Gothic"/>
        <family val="1"/>
      </rPr>
      <t>Impressão Cartilhas - Alunos / Familia.</t>
    </r>
    <r>
      <rPr>
        <sz val="12"/>
        <color theme="1"/>
        <rFont val="Century Gothic"/>
        <family val="1"/>
      </rPr>
      <t xml:space="preserve">
Capa e miolo papel couchê 90g - 12 Páginas, Formato (cm) 20.5 x 27.5 cm, 4 x 4 cores  - frente e verso  -   Alceada e grampeada                                                                                                  </t>
    </r>
  </si>
  <si>
    <t>EVENTO DE APRESENTAÇÃO</t>
  </si>
  <si>
    <r>
      <rPr>
        <b/>
        <sz val="12"/>
        <color theme="1"/>
        <rFont val="Century Gothic"/>
        <family val="1"/>
      </rPr>
      <t xml:space="preserve">Kit lanche </t>
    </r>
    <r>
      <rPr>
        <sz val="12"/>
        <color theme="1"/>
        <rFont val="Century Gothic"/>
        <family val="1"/>
      </rPr>
      <t>- composto por 3 itens - fonte de carboidrato : bolinho ou biscoito / suco de caixinha / fruta</t>
    </r>
  </si>
  <si>
    <r>
      <rPr>
        <b/>
        <sz val="12"/>
        <color theme="1"/>
        <rFont val="Century Gothic"/>
        <family val="1"/>
      </rPr>
      <t xml:space="preserve">Locação Diárias de Ônibus: </t>
    </r>
    <r>
      <rPr>
        <sz val="12"/>
        <color theme="1"/>
        <rFont val="Century Gothic"/>
        <family val="1"/>
      </rPr>
      <t xml:space="preserve"> Deslocamento de alunos e professores, com 42 (quarenta e dois) lugares, motorista e combustível. Diária de 08 (oito) horas - Utilizado para o evento de apresentação. </t>
    </r>
  </si>
  <si>
    <r>
      <rPr>
        <b/>
        <sz val="12"/>
        <color theme="1"/>
        <rFont val="Century Gothic"/>
        <family val="1"/>
      </rPr>
      <t>Hospedagem</t>
    </r>
    <r>
      <rPr>
        <sz val="12"/>
        <color theme="1"/>
        <rFont val="Century Gothic"/>
        <family val="1"/>
      </rPr>
      <t xml:space="preserve"> - profissionais envolvidos no projeto - Quarto duplo STANDARD. Hotel padrão 3 estrelas ou equivalente.</t>
    </r>
  </si>
  <si>
    <r>
      <rPr>
        <b/>
        <sz val="12"/>
        <color theme="1"/>
        <rFont val="Century Gothic"/>
        <family val="1"/>
      </rPr>
      <t>Locação de  Veículo:</t>
    </r>
    <r>
      <rPr>
        <sz val="12"/>
        <color theme="1"/>
        <rFont val="Century Gothic"/>
        <family val="1"/>
      </rPr>
      <t xml:space="preserve"> Transporte de Equipes Técnicas visita in loco pela equipe de profissionais responsaveis pelo atendimento regional.</t>
    </r>
  </si>
  <si>
    <r>
      <rPr>
        <b/>
        <sz val="12"/>
        <color theme="1"/>
        <rFont val="Century Gothic"/>
        <family val="1"/>
      </rPr>
      <t>Locação Diárias de Ônibus,</t>
    </r>
    <r>
      <rPr>
        <sz val="12"/>
        <color theme="1"/>
        <rFont val="Century Gothic"/>
        <family val="1"/>
      </rPr>
      <t xml:space="preserve"> tipo escolar, para deslocamento de alunos e professores, com 44 (quarenta e quatro) lugares, motorista e combustível.
Diária de 08 (oito) horas</t>
    </r>
  </si>
  <si>
    <r>
      <rPr>
        <b/>
        <sz val="12"/>
        <color theme="1"/>
        <rFont val="Century Gothic"/>
        <family val="1"/>
      </rPr>
      <t>Locação Diárias de Van Executiva</t>
    </r>
    <r>
      <rPr>
        <sz val="12"/>
        <color theme="1"/>
        <rFont val="Century Gothic"/>
        <family val="1"/>
      </rPr>
      <t xml:space="preserve"> com ar condicionado para alunos das turmas avançadas, com 15 (quinze) lugares, motorista e combustível. Diária de 08 (oito) horas</t>
    </r>
  </si>
  <si>
    <r>
      <rPr>
        <b/>
        <sz val="12"/>
        <color theme="1"/>
        <rFont val="Century Gothic"/>
        <family val="1"/>
      </rPr>
      <t>Locação Diárias de Van Executiva Adaptada</t>
    </r>
    <r>
      <rPr>
        <sz val="12"/>
        <color theme="1"/>
        <rFont val="Century Gothic"/>
        <family val="1"/>
      </rPr>
      <t xml:space="preserve"> para alunos com deficiência,, motorista e combustível. 
Diária de 08 (oito) horas</t>
    </r>
  </si>
  <si>
    <t>TOTAL EVENTO APRESENTAÇÃO E ESPORTIVOS</t>
  </si>
  <si>
    <r>
      <t xml:space="preserve">Tablet: </t>
    </r>
    <r>
      <rPr>
        <sz val="12"/>
        <color theme="1"/>
        <rFont val="Century Gothic"/>
        <family val="1"/>
      </rPr>
      <t xml:space="preserve"> 8,7" Polegadas, 64GB, 4GB RAM,Android 13.0 Octa-core Wi-Fi 4G</t>
    </r>
  </si>
  <si>
    <t>TOTAL DO PROJETO</t>
  </si>
  <si>
    <t>disponibilizaçao de curso</t>
  </si>
  <si>
    <r>
      <rPr>
        <b/>
        <sz val="12"/>
        <rFont val="Century Gothic"/>
        <family val="1"/>
      </rPr>
      <t>Levantamento Situacional:</t>
    </r>
    <r>
      <rPr>
        <sz val="12"/>
        <rFont val="Century Gothic"/>
        <family val="1"/>
      </rPr>
      <t xml:space="preserve"> Esta etapa compreende a realização de levantamento situacional das Escolas  em que o público alvo está matriculado </t>
    </r>
  </si>
  <si>
    <r>
      <rPr>
        <b/>
        <sz val="12"/>
        <rFont val="Century Gothic"/>
        <family val="1"/>
      </rPr>
      <t>Protocolo de diagnóstico</t>
    </r>
    <r>
      <rPr>
        <sz val="12"/>
        <rFont val="Century Gothic"/>
        <family val="1"/>
      </rPr>
      <t xml:space="preserve"> das capacidades físicas, de saúde, psicossociais e vocação esportiva, com estudos técnicos das métricas e potencilalidade dos alunos de acordo com suas caracteristicas e aptidões esportivas e vocacionais.</t>
    </r>
  </si>
  <si>
    <t>UNIFORMES / BRINDES</t>
  </si>
  <si>
    <t>Cursos Preparatório para Pré-Vestibular</t>
  </si>
  <si>
    <r>
      <rPr>
        <b/>
        <sz val="12"/>
        <color theme="1"/>
        <rFont val="Century Gothic"/>
        <family val="1"/>
      </rPr>
      <t xml:space="preserve">A Olimpíada do Saber, Esporte e Educação: </t>
    </r>
    <r>
      <rPr>
        <sz val="12"/>
        <color theme="1"/>
        <rFont val="Century Gothic"/>
        <family val="1"/>
      </rPr>
      <t xml:space="preserve">Plataforma para estudantes das escolas participantes, atividades de gamificação para estimular a competição saudável e o aprimoramento acadêmico, interativo para engajamento dos alunos. Aplicação de testes/ provas que abordarão temas ligados às mais diversas modalidades esportivas, bem como suas correlações com diversas áreas do conhecimento. </t>
    </r>
  </si>
  <si>
    <t>MATERIAIS PEDAGÓGICOS E SISTEMA EAD</t>
  </si>
  <si>
    <t>RECURSOS HUMANOS</t>
  </si>
  <si>
    <t xml:space="preserve"> EQUIPE COORDENAÇÃO E MULTIDISCIPLINAR </t>
  </si>
  <si>
    <t>TOTAL RECURSOS HUMANOS</t>
  </si>
  <si>
    <t>Quantidade de Gestores</t>
  </si>
  <si>
    <t>Quantidade de Coordenadores de Área</t>
  </si>
  <si>
    <t>Quantidade de Coordenadores de Ensino</t>
  </si>
  <si>
    <t>Quantidade de Assistentes Sociais e Psicólogos</t>
  </si>
  <si>
    <t>Localização/Endereço</t>
  </si>
  <si>
    <t>Quadra</t>
  </si>
  <si>
    <t>Sala de Informática</t>
  </si>
  <si>
    <t>Colégio Estadual Barão do Rio Branco</t>
  </si>
  <si>
    <t>Rio Branco</t>
  </si>
  <si>
    <t>Avenida Getúlio Vargas, n° 443 - Centro.</t>
  </si>
  <si>
    <t>SIM</t>
  </si>
  <si>
    <t>Escola Prof. Pedro Martinello</t>
  </si>
  <si>
    <t>Avenida Antônio Pessoa Jucá, S/N - Bairro Tancredo Neves.</t>
  </si>
  <si>
    <t>Escola Dr. João Batista Aguiar</t>
  </si>
  <si>
    <t>Rua Aderbal Brasil da Silva, n° 310 - Bairro Manoel Julião.</t>
  </si>
  <si>
    <t>Escola Humberto Soares da Costa</t>
  </si>
  <si>
    <t>Rua Riachuelo, S/N° - Bairro José Augusto.</t>
  </si>
  <si>
    <t>Instituto de Educação Lourenço Filho</t>
  </si>
  <si>
    <t>Avenida Getúlio Vargas, n° 2855 - Bairro Bosque.</t>
  </si>
  <si>
    <t>Escola Glória Perez</t>
  </si>
  <si>
    <t>Avenida Brasil, n° 85, Xavier Maia - Bairro Placas.</t>
  </si>
  <si>
    <t>Escola Jornalista Armando Nogueira</t>
  </si>
  <si>
    <t>Estrada Dias Martins, n° 1494 - Distrito Insdustrial.</t>
  </si>
  <si>
    <t>Escola José Ribamar Batista</t>
  </si>
  <si>
    <t>Rua Rio Grande do Sul, 2570 - Bairro Aeroporto Velho.</t>
  </si>
  <si>
    <t>Escola Sebastião Pedrosa</t>
  </si>
  <si>
    <t>Travessa Comara, n° 101 - Bairro Comara.</t>
  </si>
  <si>
    <t>Escola Boa União Ensino Jovem</t>
  </si>
  <si>
    <t>Rua Três de Agosto, n° 38, Boa União - Sobral.</t>
  </si>
  <si>
    <t>Escola Ester Maia de Oliveira</t>
  </si>
  <si>
    <t>Avenida Jorge Cardoso, S/N° - Cidade do Povo.</t>
  </si>
  <si>
    <t>1ª DESEMBOLSO</t>
  </si>
  <si>
    <t>2ª DESEMBOLSO</t>
  </si>
  <si>
    <t>3ª DESEMBOLSO</t>
  </si>
  <si>
    <t>4ª DESEMBOLSO</t>
  </si>
  <si>
    <t>5ª DESEMBOLSO</t>
  </si>
  <si>
    <t>6ª DESEMBOLSO</t>
  </si>
  <si>
    <t>7ª DESEMBOLSO</t>
  </si>
  <si>
    <t>8ª DESEMBOLSO</t>
  </si>
  <si>
    <t>9ª DESEMBOLSO</t>
  </si>
  <si>
    <t>10ª DESEMBOLSO</t>
  </si>
  <si>
    <t>11ª DESEMBOLSO</t>
  </si>
  <si>
    <t>12ª DESEMBOLSO</t>
  </si>
  <si>
    <t>CRONOGRAMA DE DESEMBOLSO</t>
  </si>
  <si>
    <t>AÇÕES</t>
  </si>
  <si>
    <t>TOTAL</t>
  </si>
  <si>
    <t>Protocolo Avaliativo</t>
  </si>
  <si>
    <t>SISTEMA TECNOLOGIA</t>
  </si>
  <si>
    <t>Sistema de Gestão</t>
  </si>
  <si>
    <t>AQUISIÇÃO DE MATERIAIS</t>
  </si>
  <si>
    <t>Materiais Esportivos</t>
  </si>
  <si>
    <t>Materiais para Avaliação do Alunos</t>
  </si>
  <si>
    <t>Kit Alunos</t>
  </si>
  <si>
    <t>Evento Lançamento Programa</t>
  </si>
  <si>
    <t>Equipe de Recursos Huamos</t>
  </si>
  <si>
    <t>Comunicação</t>
  </si>
  <si>
    <t>Assessoria de Imprensa</t>
  </si>
  <si>
    <t xml:space="preserve">Criação e produção de vídeo institucional  </t>
  </si>
  <si>
    <t>Materiais Gráficos (impressões)</t>
  </si>
  <si>
    <t>1º TRIMESTRE</t>
  </si>
  <si>
    <t>2º TRIMESTRE</t>
  </si>
  <si>
    <t>3º TRIMESTRE</t>
  </si>
  <si>
    <t>4º TRIMESTRE</t>
  </si>
  <si>
    <t>Eventos Esportivos/Logística</t>
  </si>
  <si>
    <t>Apresentação da Metodologia</t>
  </si>
  <si>
    <t xml:space="preserve">Promoção e Defesa dos Direitos da Criança </t>
  </si>
  <si>
    <t>Pós-Gradução</t>
  </si>
  <si>
    <t>Palestra Capacitação</t>
  </si>
  <si>
    <t>Palestrante Regional</t>
  </si>
  <si>
    <t>Olimpíadas do Saber</t>
  </si>
  <si>
    <t xml:space="preserve">Tecnologia e Desenvolvimento Talentos </t>
  </si>
  <si>
    <t>Temas Transversais - Alunos</t>
  </si>
  <si>
    <t>Temas Transversais - Professores</t>
  </si>
  <si>
    <t>Logística</t>
  </si>
  <si>
    <t>Nº</t>
  </si>
  <si>
    <t>Escolas</t>
  </si>
  <si>
    <t>Municípios</t>
  </si>
  <si>
    <t>Total geral de alunos</t>
  </si>
  <si>
    <t>Total</t>
  </si>
  <si>
    <t>Materiais Pegagógicos</t>
  </si>
  <si>
    <t>Levantamento Situacional</t>
  </si>
  <si>
    <t>Curso de Educação Financeira</t>
  </si>
  <si>
    <t>MATERIAIS  PEDAGÓGICOS - ALUNOS</t>
  </si>
  <si>
    <t>Materiais Pedagógicos - Alunos</t>
  </si>
  <si>
    <t>Materiais Pedagógios Temas Transversais</t>
  </si>
  <si>
    <t xml:space="preserve">Com elas por elas </t>
  </si>
  <si>
    <t>Bullying, não curto essa idéia</t>
  </si>
  <si>
    <t xml:space="preserve">Amor e Proteção (Abuso e Exploração sexual) </t>
  </si>
  <si>
    <t xml:space="preserve">Por uma vida mais sustentável </t>
  </si>
  <si>
    <t>Bem Viver</t>
  </si>
  <si>
    <t xml:space="preserve">Falar é a melhor solução </t>
  </si>
  <si>
    <t xml:space="preserve">Diferentes mas iguais </t>
  </si>
  <si>
    <t>Total Materiais Pedagógicos Alunos</t>
  </si>
  <si>
    <r>
      <rPr>
        <b/>
        <sz val="12"/>
        <color theme="1"/>
        <rFont val="Century Gothic"/>
        <family val="1"/>
      </rPr>
      <t>Temas Transversais (Agenda 2030 – ODS/ONU e BNCC)</t>
    </r>
    <r>
      <rPr>
        <sz val="12"/>
        <color theme="1"/>
        <rFont val="Century Gothic"/>
        <family val="1"/>
      </rPr>
      <t xml:space="preserve">
(EAD / Carga Horária de </t>
    </r>
    <r>
      <rPr>
        <b/>
        <sz val="12"/>
        <color theme="1"/>
        <rFont val="Century Gothic"/>
        <family val="1"/>
      </rPr>
      <t>40 Horas</t>
    </r>
    <r>
      <rPr>
        <sz val="12"/>
        <color theme="1"/>
        <rFont val="Century Gothic"/>
        <family val="1"/>
      </rPr>
      <t>) - PROFESSORES</t>
    </r>
  </si>
  <si>
    <r>
      <rPr>
        <b/>
        <sz val="12"/>
        <color theme="1"/>
        <rFont val="Century Gothic"/>
        <family val="1"/>
      </rPr>
      <t>Temas Transversais (Agenda 2030 – ODS/ONU e BNCC)</t>
    </r>
    <r>
      <rPr>
        <sz val="12"/>
        <color theme="1"/>
        <rFont val="Century Gothic"/>
        <family val="1"/>
      </rPr>
      <t xml:space="preserve">
(EAD / Carga Horária de </t>
    </r>
    <r>
      <rPr>
        <b/>
        <sz val="12"/>
        <color theme="1"/>
        <rFont val="Century Gothic"/>
        <family val="1"/>
      </rPr>
      <t>40 Horas</t>
    </r>
    <r>
      <rPr>
        <sz val="12"/>
        <color theme="1"/>
        <rFont val="Century Gothic"/>
        <family val="1"/>
      </rPr>
      <t>) - ALUNOS</t>
    </r>
  </si>
  <si>
    <t>Escola Craveiro Costa</t>
  </si>
  <si>
    <t>Escola Dom Henrique Ruht</t>
  </si>
  <si>
    <t>Escola Flodoardo Cabral</t>
  </si>
  <si>
    <t>Cruzeiro do Sul</t>
  </si>
  <si>
    <t>Municípios de Rio Branco e Cruzeiro do Sul</t>
  </si>
  <si>
    <t>Monitor</t>
  </si>
  <si>
    <r>
      <rPr>
        <b/>
        <sz val="12"/>
        <color theme="1"/>
        <rFont val="Century Gothic"/>
        <family val="1"/>
      </rPr>
      <t>Combustivel</t>
    </r>
    <r>
      <rPr>
        <sz val="12"/>
        <color theme="1"/>
        <rFont val="Century Gothic"/>
        <family val="1"/>
      </rPr>
      <t xml:space="preserve"> - Preço médio por litro R$ 6,80/ Deslocamento mensal 2.000 km (12 meses = 24000 km ) média de consumo por litro12 km/l . Cálculo por para 02  veículos.</t>
    </r>
  </si>
  <si>
    <r>
      <rPr>
        <b/>
        <sz val="12"/>
        <color theme="1"/>
        <rFont val="Century Gothic"/>
        <family val="1"/>
      </rPr>
      <t>Cronômetro digital profissional</t>
    </r>
    <r>
      <rPr>
        <sz val="12"/>
        <color theme="1"/>
        <rFont val="Century Gothic"/>
        <family val="1"/>
      </rPr>
      <t xml:space="preserve"> eletrônico - Mostrador com 2 Linhas- Relógio.- Alarme.- Despertador.- Memória 100 voltas. Produto Importado.</t>
    </r>
  </si>
  <si>
    <t>Previsão de Pagamento: 15/05/2025</t>
  </si>
  <si>
    <t>Previsão de Pagamento: 15/08/2025</t>
  </si>
  <si>
    <t>Previsão de Pagamento: 15/11/2025</t>
  </si>
  <si>
    <t>Previsão de Pagamento: 15/02/2026</t>
  </si>
  <si>
    <t>Recursos Humanos essencial para o desenvolvimento do programa; Equipe Técnica de Coordenação e Equipe Multidisciplinar</t>
  </si>
  <si>
    <t>Total para 12 meses</t>
  </si>
  <si>
    <t>Item</t>
  </si>
  <si>
    <t>ITENS</t>
  </si>
  <si>
    <t>EQUIPE DE PROFISSIONAIS</t>
  </si>
  <si>
    <t>EQUIPE MULTIDISCIPLINAR</t>
  </si>
  <si>
    <t>QTDE. PROFISSIONAIS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</si>
</sst>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_-"/>
    <numFmt numFmtId="166" formatCode="_-* #,##0.00_-;\-* #,##0.00_-;_-* &quot;-&quot;??_-;_-@_-"/>
    <numFmt numFmtId="167" formatCode="_-&quot;R$&quot;* #,##0.00_-;\-&quot;R$&quot;* #,##0.00_-;_-&quot;R$&quot;* &quot;-&quot;??_-;_-@"/>
    <numFmt numFmtId="168" formatCode="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b/>
      <sz val="12"/>
      <color rgb="FFFF0000"/>
      <name val="Century Gothic"/>
      <family val="1"/>
    </font>
    <font>
      <sz val="12"/>
      <color theme="0"/>
      <name val="Century Gothic"/>
      <family val="1"/>
    </font>
    <font>
      <b/>
      <sz val="12"/>
      <color rgb="FF000000"/>
      <name val="Century Gothic"/>
      <family val="1"/>
    </font>
    <font>
      <sz val="12"/>
      <name val="Century Gothic"/>
      <family val="1"/>
    </font>
    <font>
      <b/>
      <sz val="12"/>
      <name val="Century Gothic"/>
      <family val="1"/>
    </font>
    <font>
      <sz val="12"/>
      <color rgb="FF0432FF"/>
      <name val="Century Gothic"/>
      <family val="1"/>
    </font>
    <font>
      <sz val="10"/>
      <color rgb="FF000000"/>
      <name val="Times New Roman"/>
      <family val="1"/>
    </font>
    <font>
      <sz val="11"/>
      <color rgb="FF000000"/>
      <name val="Century Gothic"/>
      <family val="1"/>
    </font>
    <font>
      <b/>
      <sz val="11"/>
      <color rgb="FF000000"/>
      <name val="Century Gothic"/>
      <family val="1"/>
    </font>
    <font>
      <b/>
      <sz val="11"/>
      <color theme="1"/>
      <name val="Century Gothic"/>
      <family val="1"/>
    </font>
    <font>
      <b/>
      <sz val="10"/>
      <color rgb="FF000000"/>
      <name val="Century Gothic"/>
      <family val="1"/>
    </font>
    <font>
      <sz val="12"/>
      <color rgb="FFFF0000"/>
      <name val="Century Gothic"/>
      <family val="1"/>
    </font>
    <font>
      <sz val="30"/>
      <color theme="1"/>
      <name val="Calibri"/>
      <family val="2"/>
      <scheme val="minor"/>
    </font>
    <font>
      <sz val="11"/>
      <color rgb="FFFF0000"/>
      <name val="Century Gothic"/>
      <family val="1"/>
    </font>
    <font>
      <sz val="11"/>
      <name val="Century Gothic"/>
      <family val="1"/>
    </font>
    <font>
      <sz val="11"/>
      <color theme="1"/>
      <name val="Century Gothic"/>
      <family val="1"/>
    </font>
    <font>
      <sz val="11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BFBFB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rgb="FFBFBFBF"/>
      </patternFill>
    </fill>
    <fill>
      <patternFill patternType="solid">
        <fgColor theme="4" tint="0.79998168889431442"/>
        <bgColor rgb="FFBFBFBF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D8D8D8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rgb="FFBFBFB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BFFB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0" fillId="0" borderId="0"/>
  </cellStyleXfs>
  <cellXfs count="324">
    <xf numFmtId="0" fontId="0" fillId="0" borderId="0" xfId="0"/>
    <xf numFmtId="2" fontId="2" fillId="8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167" fontId="3" fillId="4" borderId="4" xfId="0" applyNumberFormat="1" applyFont="1" applyFill="1" applyBorder="1" applyAlignment="1">
      <alignment vertical="center" wrapText="1"/>
    </xf>
    <xf numFmtId="164" fontId="3" fillId="4" borderId="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7" fontId="3" fillId="0" borderId="4" xfId="0" applyNumberFormat="1" applyFont="1" applyBorder="1" applyAlignment="1">
      <alignment vertical="center" wrapText="1"/>
    </xf>
    <xf numFmtId="0" fontId="3" fillId="4" borderId="4" xfId="0" applyFont="1" applyFill="1" applyBorder="1" applyAlignment="1">
      <alignment horizontal="left" vertical="center" wrapText="1"/>
    </xf>
    <xf numFmtId="165" fontId="3" fillId="4" borderId="4" xfId="1" applyFont="1" applyFill="1" applyBorder="1" applyAlignment="1">
      <alignment vertical="center" wrapText="1"/>
    </xf>
    <xf numFmtId="165" fontId="3" fillId="0" borderId="4" xfId="0" applyNumberFormat="1" applyFont="1" applyBorder="1" applyAlignment="1">
      <alignment vertical="center"/>
    </xf>
    <xf numFmtId="165" fontId="3" fillId="4" borderId="4" xfId="1" applyFont="1" applyFill="1" applyBorder="1" applyAlignment="1">
      <alignment horizontal="center" vertical="center" wrapText="1"/>
    </xf>
    <xf numFmtId="165" fontId="3" fillId="0" borderId="4" xfId="1" applyFont="1" applyFill="1" applyBorder="1" applyAlignment="1">
      <alignment vertical="center"/>
    </xf>
    <xf numFmtId="165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2" fontId="2" fillId="4" borderId="9" xfId="0" applyNumberFormat="1" applyFont="1" applyFill="1" applyBorder="1" applyAlignment="1">
      <alignment vertical="center"/>
    </xf>
    <xf numFmtId="3" fontId="3" fillId="0" borderId="4" xfId="0" applyNumberFormat="1" applyFont="1" applyBorder="1" applyAlignment="1">
      <alignment horizontal="left" vertical="center" wrapText="1"/>
    </xf>
    <xf numFmtId="165" fontId="3" fillId="0" borderId="4" xfId="1" applyFont="1" applyFill="1" applyBorder="1" applyAlignment="1">
      <alignment horizontal="center" vertical="center"/>
    </xf>
    <xf numFmtId="165" fontId="3" fillId="0" borderId="1" xfId="1" applyFont="1" applyFill="1" applyBorder="1" applyAlignment="1">
      <alignment vertical="center" wrapText="1"/>
    </xf>
    <xf numFmtId="165" fontId="3" fillId="0" borderId="1" xfId="1" applyFont="1" applyFill="1" applyBorder="1" applyAlignment="1">
      <alignment vertical="center"/>
    </xf>
    <xf numFmtId="165" fontId="2" fillId="7" borderId="4" xfId="0" applyNumberFormat="1" applyFont="1" applyFill="1" applyBorder="1" applyAlignment="1">
      <alignment vertical="center"/>
    </xf>
    <xf numFmtId="165" fontId="2" fillId="7" borderId="4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3" fontId="2" fillId="4" borderId="9" xfId="0" applyNumberFormat="1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6" borderId="11" xfId="0" applyFont="1" applyFill="1" applyBorder="1" applyAlignment="1">
      <alignment horizontal="right" vertical="center" wrapText="1"/>
    </xf>
    <xf numFmtId="165" fontId="2" fillId="4" borderId="11" xfId="0" applyNumberFormat="1" applyFont="1" applyFill="1" applyBorder="1" applyAlignment="1">
      <alignment vertical="center"/>
    </xf>
    <xf numFmtId="165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165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4" borderId="0" xfId="0" applyFont="1" applyFill="1" applyAlignment="1">
      <alignment horizontal="right" vertical="center" wrapText="1"/>
    </xf>
    <xf numFmtId="165" fontId="2" fillId="4" borderId="0" xfId="0" applyNumberFormat="1" applyFont="1" applyFill="1" applyAlignment="1">
      <alignment horizontal="center" vertical="center"/>
    </xf>
    <xf numFmtId="1" fontId="3" fillId="4" borderId="11" xfId="0" applyNumberFormat="1" applyFont="1" applyFill="1" applyBorder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0" fontId="3" fillId="4" borderId="11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horizontal="center" vertical="center"/>
    </xf>
    <xf numFmtId="165" fontId="3" fillId="4" borderId="11" xfId="1" applyFont="1" applyFill="1" applyBorder="1" applyAlignment="1">
      <alignment vertical="center"/>
    </xf>
    <xf numFmtId="165" fontId="3" fillId="4" borderId="11" xfId="0" applyNumberFormat="1" applyFont="1" applyFill="1" applyBorder="1" applyAlignment="1">
      <alignment horizontal="center" vertical="center"/>
    </xf>
    <xf numFmtId="165" fontId="3" fillId="4" borderId="0" xfId="1" applyFont="1" applyFill="1" applyBorder="1" applyAlignment="1">
      <alignment vertical="center"/>
    </xf>
    <xf numFmtId="165" fontId="2" fillId="7" borderId="7" xfId="0" applyNumberFormat="1" applyFont="1" applyFill="1" applyBorder="1" applyAlignment="1">
      <alignment horizontal="center" vertical="center"/>
    </xf>
    <xf numFmtId="1" fontId="2" fillId="4" borderId="8" xfId="0" applyNumberFormat="1" applyFont="1" applyFill="1" applyBorder="1" applyAlignment="1">
      <alignment horizontal="center" vertical="center"/>
    </xf>
    <xf numFmtId="3" fontId="2" fillId="4" borderId="8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5" fontId="3" fillId="0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4" borderId="0" xfId="0" applyFont="1" applyFill="1"/>
    <xf numFmtId="0" fontId="5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center" vertical="center"/>
    </xf>
    <xf numFmtId="0" fontId="2" fillId="2" borderId="9" xfId="0" applyFont="1" applyFill="1" applyBorder="1" applyAlignment="1">
      <alignment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3" fontId="3" fillId="4" borderId="4" xfId="0" applyNumberFormat="1" applyFont="1" applyFill="1" applyBorder="1" applyAlignment="1">
      <alignment horizontal="left" vertical="center" wrapText="1"/>
    </xf>
    <xf numFmtId="3" fontId="2" fillId="4" borderId="4" xfId="0" applyNumberFormat="1" applyFont="1" applyFill="1" applyBorder="1" applyAlignment="1">
      <alignment horizontal="left" vertical="center" wrapText="1"/>
    </xf>
    <xf numFmtId="165" fontId="3" fillId="4" borderId="4" xfId="1" applyFont="1" applyFill="1" applyBorder="1" applyAlignment="1">
      <alignment horizontal="center" vertical="center"/>
    </xf>
    <xf numFmtId="165" fontId="3" fillId="4" borderId="4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/>
    </xf>
    <xf numFmtId="165" fontId="3" fillId="4" borderId="4" xfId="1" applyFont="1" applyFill="1" applyBorder="1" applyAlignment="1">
      <alignment vertical="center"/>
    </xf>
    <xf numFmtId="165" fontId="3" fillId="4" borderId="4" xfId="0" applyNumberFormat="1" applyFont="1" applyFill="1" applyBorder="1" applyAlignment="1">
      <alignment vertical="center"/>
    </xf>
    <xf numFmtId="0" fontId="2" fillId="6" borderId="4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horizontal="center" vertical="center" wrapText="1"/>
    </xf>
    <xf numFmtId="2" fontId="3" fillId="4" borderId="8" xfId="0" applyNumberFormat="1" applyFont="1" applyFill="1" applyBorder="1" applyAlignment="1">
      <alignment vertical="center"/>
    </xf>
    <xf numFmtId="0" fontId="6" fillId="12" borderId="8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right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65" fontId="7" fillId="0" borderId="4" xfId="0" applyNumberFormat="1" applyFont="1" applyBorder="1" applyAlignment="1">
      <alignment vertical="center"/>
    </xf>
    <xf numFmtId="0" fontId="8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165" fontId="7" fillId="0" borderId="4" xfId="1" applyFont="1" applyFill="1" applyBorder="1" applyAlignment="1">
      <alignment vertical="center" wrapText="1"/>
    </xf>
    <xf numFmtId="2" fontId="2" fillId="4" borderId="8" xfId="0" applyNumberFormat="1" applyFont="1" applyFill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11" xfId="0" applyFont="1" applyBorder="1" applyAlignment="1">
      <alignment horizontal="right" vertical="center" wrapText="1"/>
    </xf>
    <xf numFmtId="0" fontId="3" fillId="3" borderId="4" xfId="0" applyFont="1" applyFill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164" fontId="0" fillId="0" borderId="0" xfId="0" applyNumberFormat="1"/>
    <xf numFmtId="165" fontId="3" fillId="0" borderId="1" xfId="0" applyNumberFormat="1" applyFont="1" applyBorder="1" applyAlignment="1">
      <alignment vertical="center"/>
    </xf>
    <xf numFmtId="0" fontId="10" fillId="0" borderId="0" xfId="3" applyAlignment="1">
      <alignment horizontal="left" vertical="top"/>
    </xf>
    <xf numFmtId="0" fontId="3" fillId="4" borderId="8" xfId="0" applyFont="1" applyFill="1" applyBorder="1"/>
    <xf numFmtId="164" fontId="3" fillId="4" borderId="8" xfId="0" applyNumberFormat="1" applyFont="1" applyFill="1" applyBorder="1"/>
    <xf numFmtId="164" fontId="3" fillId="4" borderId="7" xfId="0" applyNumberFormat="1" applyFont="1" applyFill="1" applyBorder="1"/>
    <xf numFmtId="0" fontId="3" fillId="4" borderId="7" xfId="0" applyFont="1" applyFill="1" applyBorder="1"/>
    <xf numFmtId="0" fontId="3" fillId="4" borderId="8" xfId="0" applyFont="1" applyFill="1" applyBorder="1" applyAlignment="1">
      <alignment horizontal="left" vertical="center"/>
    </xf>
    <xf numFmtId="164" fontId="3" fillId="4" borderId="8" xfId="0" applyNumberFormat="1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4" borderId="9" xfId="0" applyFont="1" applyFill="1" applyBorder="1"/>
    <xf numFmtId="164" fontId="2" fillId="4" borderId="9" xfId="0" applyNumberFormat="1" applyFont="1" applyFill="1" applyBorder="1"/>
    <xf numFmtId="164" fontId="3" fillId="16" borderId="4" xfId="0" applyNumberFormat="1" applyFont="1" applyFill="1" applyBorder="1" applyAlignment="1">
      <alignment horizontal="center" vertical="center"/>
    </xf>
    <xf numFmtId="0" fontId="0" fillId="4" borderId="0" xfId="0" applyFill="1"/>
    <xf numFmtId="164" fontId="2" fillId="14" borderId="4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vertical="center"/>
    </xf>
    <xf numFmtId="165" fontId="0" fillId="0" borderId="0" xfId="0" applyNumberFormat="1"/>
    <xf numFmtId="10" fontId="13" fillId="4" borderId="0" xfId="0" applyNumberFormat="1" applyFont="1" applyFill="1" applyAlignment="1">
      <alignment horizontal="center" vertical="center"/>
    </xf>
    <xf numFmtId="164" fontId="3" fillId="4" borderId="0" xfId="0" applyNumberFormat="1" applyFont="1" applyFill="1"/>
    <xf numFmtId="3" fontId="3" fillId="4" borderId="8" xfId="0" applyNumberFormat="1" applyFont="1" applyFill="1" applyBorder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4" fontId="3" fillId="4" borderId="15" xfId="0" applyNumberFormat="1" applyFont="1" applyFill="1" applyBorder="1" applyAlignment="1">
      <alignment vertical="center"/>
    </xf>
    <xf numFmtId="0" fontId="3" fillId="0" borderId="8" xfId="0" applyFont="1" applyBorder="1"/>
    <xf numFmtId="3" fontId="3" fillId="4" borderId="6" xfId="0" applyNumberFormat="1" applyFont="1" applyFill="1" applyBorder="1" applyAlignment="1">
      <alignment horizontal="center" vertical="center" wrapText="1"/>
    </xf>
    <xf numFmtId="167" fontId="3" fillId="4" borderId="5" xfId="0" applyNumberFormat="1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 wrapText="1"/>
    </xf>
    <xf numFmtId="1" fontId="3" fillId="4" borderId="4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right" vertical="center" wrapText="1"/>
    </xf>
    <xf numFmtId="165" fontId="2" fillId="8" borderId="4" xfId="0" applyNumberFormat="1" applyFont="1" applyFill="1" applyBorder="1" applyAlignment="1">
      <alignment horizontal="center" vertical="center"/>
    </xf>
    <xf numFmtId="43" fontId="0" fillId="0" borderId="0" xfId="0" applyNumberFormat="1"/>
    <xf numFmtId="0" fontId="2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vertical="center" wrapText="1"/>
    </xf>
    <xf numFmtId="43" fontId="0" fillId="4" borderId="0" xfId="0" applyNumberFormat="1" applyFill="1"/>
    <xf numFmtId="0" fontId="0" fillId="4" borderId="8" xfId="0" applyFill="1" applyBorder="1"/>
    <xf numFmtId="0" fontId="11" fillId="4" borderId="4" xfId="3" applyFont="1" applyFill="1" applyBorder="1" applyAlignment="1">
      <alignment horizontal="center" vertical="center" wrapText="1"/>
    </xf>
    <xf numFmtId="0" fontId="11" fillId="4" borderId="9" xfId="3" applyFont="1" applyFill="1" applyBorder="1" applyAlignment="1">
      <alignment horizontal="center" vertical="center" wrapText="1"/>
    </xf>
    <xf numFmtId="1" fontId="11" fillId="4" borderId="9" xfId="3" applyNumberFormat="1" applyFont="1" applyFill="1" applyBorder="1" applyAlignment="1">
      <alignment horizontal="center" vertical="center" shrinkToFit="1"/>
    </xf>
    <xf numFmtId="0" fontId="11" fillId="4" borderId="28" xfId="3" applyFont="1" applyFill="1" applyBorder="1" applyAlignment="1">
      <alignment horizontal="center" vertical="center" wrapText="1"/>
    </xf>
    <xf numFmtId="1" fontId="11" fillId="4" borderId="4" xfId="3" applyNumberFormat="1" applyFont="1" applyFill="1" applyBorder="1" applyAlignment="1">
      <alignment horizontal="center" vertical="center" shrinkToFit="1"/>
    </xf>
    <xf numFmtId="0" fontId="11" fillId="4" borderId="26" xfId="3" applyFont="1" applyFill="1" applyBorder="1" applyAlignment="1">
      <alignment horizontal="center" vertical="center" wrapText="1"/>
    </xf>
    <xf numFmtId="0" fontId="14" fillId="18" borderId="4" xfId="3" applyFont="1" applyFill="1" applyBorder="1" applyAlignment="1">
      <alignment horizontal="center" vertical="center" wrapText="1"/>
    </xf>
    <xf numFmtId="0" fontId="12" fillId="18" borderId="4" xfId="3" applyFont="1" applyFill="1" applyBorder="1" applyAlignment="1">
      <alignment horizontal="center" vertical="center" wrapText="1"/>
    </xf>
    <xf numFmtId="1" fontId="19" fillId="4" borderId="25" xfId="0" applyNumberFormat="1" applyFont="1" applyFill="1" applyBorder="1" applyAlignment="1">
      <alignment horizontal="center" vertical="center" shrinkToFit="1"/>
    </xf>
    <xf numFmtId="1" fontId="19" fillId="4" borderId="4" xfId="3" applyNumberFormat="1" applyFont="1" applyFill="1" applyBorder="1" applyAlignment="1">
      <alignment horizontal="center" vertical="center" shrinkToFit="1"/>
    </xf>
    <xf numFmtId="1" fontId="19" fillId="4" borderId="9" xfId="3" applyNumberFormat="1" applyFont="1" applyFill="1" applyBorder="1" applyAlignment="1">
      <alignment horizontal="center" vertical="center" shrinkToFit="1"/>
    </xf>
    <xf numFmtId="0" fontId="3" fillId="18" borderId="4" xfId="3" applyFont="1" applyFill="1" applyBorder="1" applyAlignment="1">
      <alignment horizontal="left" vertical="center" wrapText="1"/>
    </xf>
    <xf numFmtId="3" fontId="2" fillId="18" borderId="4" xfId="3" applyNumberFormat="1" applyFont="1" applyFill="1" applyBorder="1" applyAlignment="1">
      <alignment horizontal="center" vertical="center" shrinkToFit="1"/>
    </xf>
    <xf numFmtId="0" fontId="3" fillId="18" borderId="26" xfId="3" applyFont="1" applyFill="1" applyBorder="1" applyAlignment="1">
      <alignment horizontal="left" vertical="center" wrapText="1"/>
    </xf>
    <xf numFmtId="0" fontId="17" fillId="19" borderId="4" xfId="3" applyFont="1" applyFill="1" applyBorder="1" applyAlignment="1">
      <alignment horizontal="center" vertical="center" wrapText="1"/>
    </xf>
    <xf numFmtId="0" fontId="17" fillId="19" borderId="4" xfId="3" applyFont="1" applyFill="1" applyBorder="1" applyAlignment="1">
      <alignment horizontal="left" vertical="center" wrapText="1"/>
    </xf>
    <xf numFmtId="168" fontId="11" fillId="4" borderId="4" xfId="3" applyNumberFormat="1" applyFont="1" applyFill="1" applyBorder="1" applyAlignment="1">
      <alignment horizontal="center" vertical="center" shrinkToFit="1"/>
    </xf>
    <xf numFmtId="0" fontId="12" fillId="18" borderId="3" xfId="3" applyFont="1" applyFill="1" applyBorder="1" applyAlignment="1">
      <alignment horizontal="center" vertical="center" wrapText="1"/>
    </xf>
    <xf numFmtId="0" fontId="18" fillId="4" borderId="27" xfId="0" applyFont="1" applyFill="1" applyBorder="1" applyAlignment="1">
      <alignment horizontal="left" vertical="center" wrapText="1"/>
    </xf>
    <xf numFmtId="0" fontId="11" fillId="4" borderId="3" xfId="3" applyFont="1" applyFill="1" applyBorder="1" applyAlignment="1">
      <alignment horizontal="left" vertical="center" wrapText="1"/>
    </xf>
    <xf numFmtId="0" fontId="11" fillId="4" borderId="14" xfId="3" applyFont="1" applyFill="1" applyBorder="1" applyAlignment="1">
      <alignment horizontal="left" vertical="center" wrapText="1"/>
    </xf>
    <xf numFmtId="0" fontId="3" fillId="18" borderId="3" xfId="3" applyFont="1" applyFill="1" applyBorder="1" applyAlignment="1">
      <alignment horizontal="left" vertical="center" wrapText="1"/>
    </xf>
    <xf numFmtId="0" fontId="2" fillId="18" borderId="4" xfId="3" applyFont="1" applyFill="1" applyBorder="1" applyAlignment="1">
      <alignment horizontal="center" vertical="center" wrapText="1"/>
    </xf>
    <xf numFmtId="4" fontId="3" fillId="4" borderId="4" xfId="0" applyNumberFormat="1" applyFont="1" applyFill="1" applyBorder="1" applyAlignment="1">
      <alignment horizontal="right" vertical="center" wrapText="1"/>
    </xf>
    <xf numFmtId="0" fontId="3" fillId="13" borderId="4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1" borderId="12" xfId="0" applyFont="1" applyFill="1" applyBorder="1" applyAlignment="1">
      <alignment horizontal="center" vertical="center" wrapText="1"/>
    </xf>
    <xf numFmtId="0" fontId="2" fillId="11" borderId="13" xfId="0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right" vertical="center" wrapText="1"/>
    </xf>
    <xf numFmtId="0" fontId="2" fillId="9" borderId="2" xfId="0" applyFont="1" applyFill="1" applyBorder="1" applyAlignment="1">
      <alignment horizontal="right" vertical="center" wrapText="1"/>
    </xf>
    <xf numFmtId="0" fontId="2" fillId="9" borderId="3" xfId="0" applyFont="1" applyFill="1" applyBorder="1" applyAlignment="1">
      <alignment horizontal="right" vertical="center" wrapText="1"/>
    </xf>
    <xf numFmtId="0" fontId="2" fillId="8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right" vertical="center" wrapText="1"/>
    </xf>
    <xf numFmtId="0" fontId="2" fillId="7" borderId="2" xfId="0" applyFont="1" applyFill="1" applyBorder="1" applyAlignment="1">
      <alignment horizontal="right" vertical="center" wrapText="1"/>
    </xf>
    <xf numFmtId="0" fontId="2" fillId="7" borderId="3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11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3" fontId="3" fillId="4" borderId="4" xfId="0" applyNumberFormat="1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2" fillId="17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164" fontId="2" fillId="0" borderId="4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43" fontId="2" fillId="0" borderId="4" xfId="0" applyNumberFormat="1" applyFont="1" applyBorder="1" applyAlignment="1">
      <alignment vertical="center"/>
    </xf>
    <xf numFmtId="10" fontId="2" fillId="4" borderId="4" xfId="0" applyNumberFormat="1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7" fillId="4" borderId="4" xfId="3" applyFont="1" applyFill="1" applyBorder="1" applyAlignment="1">
      <alignment horizontal="center" vertical="center" wrapText="1"/>
    </xf>
    <xf numFmtId="0" fontId="3" fillId="0" borderId="0" xfId="0" applyFont="1" applyFill="1"/>
    <xf numFmtId="0" fontId="0" fillId="0" borderId="0" xfId="0" applyFill="1"/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 wrapText="1"/>
    </xf>
    <xf numFmtId="0" fontId="3" fillId="0" borderId="0" xfId="3" applyFont="1" applyFill="1" applyBorder="1" applyAlignment="1">
      <alignment horizontal="left" vertical="center" wrapText="1"/>
    </xf>
    <xf numFmtId="43" fontId="3" fillId="0" borderId="0" xfId="0" applyNumberFormat="1" applyFont="1" applyFill="1"/>
    <xf numFmtId="1" fontId="6" fillId="0" borderId="0" xfId="0" applyNumberFormat="1" applyFont="1" applyFill="1" applyBorder="1" applyAlignment="1">
      <alignment horizontal="center" vertical="center"/>
    </xf>
    <xf numFmtId="0" fontId="15" fillId="0" borderId="0" xfId="3" applyFont="1" applyFill="1" applyBorder="1" applyAlignment="1">
      <alignment horizontal="left" vertical="center" wrapText="1"/>
    </xf>
    <xf numFmtId="0" fontId="20" fillId="0" borderId="0" xfId="0" applyFont="1" applyFill="1" applyBorder="1"/>
    <xf numFmtId="0" fontId="4" fillId="0" borderId="0" xfId="0" applyFont="1" applyFill="1" applyBorder="1" applyAlignment="1">
      <alignment horizontal="center" vertical="center" wrapText="1"/>
    </xf>
    <xf numFmtId="0" fontId="15" fillId="0" borderId="0" xfId="3" applyFont="1" applyFill="1" applyBorder="1" applyAlignment="1">
      <alignment horizontal="left" vertical="center"/>
    </xf>
    <xf numFmtId="0" fontId="3" fillId="0" borderId="0" xfId="0" applyFont="1" applyFill="1" applyAlignment="1">
      <alignment horizontal="center"/>
    </xf>
    <xf numFmtId="43" fontId="0" fillId="0" borderId="0" xfId="0" applyNumberFormat="1" applyFill="1" applyAlignment="1">
      <alignment horizontal="center" vertical="center"/>
    </xf>
    <xf numFmtId="43" fontId="0" fillId="0" borderId="0" xfId="0" applyNumberFormat="1" applyFill="1"/>
    <xf numFmtId="0" fontId="16" fillId="0" borderId="0" xfId="0" applyFont="1" applyFill="1"/>
    <xf numFmtId="0" fontId="2" fillId="0" borderId="4" xfId="0" applyFont="1" applyFill="1" applyBorder="1" applyAlignment="1">
      <alignment horizontal="left" vertical="center" wrapText="1"/>
    </xf>
    <xf numFmtId="3" fontId="3" fillId="0" borderId="4" xfId="0" applyNumberFormat="1" applyFont="1" applyFill="1" applyBorder="1" applyAlignment="1">
      <alignment horizontal="center" vertical="center" wrapText="1"/>
    </xf>
    <xf numFmtId="3" fontId="2" fillId="0" borderId="4" xfId="0" applyNumberFormat="1" applyFont="1" applyFill="1" applyBorder="1" applyAlignment="1">
      <alignment horizontal="left" vertical="center" wrapText="1"/>
    </xf>
    <xf numFmtId="3" fontId="3" fillId="0" borderId="4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3" fontId="3" fillId="0" borderId="3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165" fontId="3" fillId="4" borderId="7" xfId="0" applyNumberFormat="1" applyFont="1" applyFill="1" applyBorder="1" applyAlignment="1">
      <alignment horizontal="center" vertical="center" wrapText="1"/>
    </xf>
    <xf numFmtId="165" fontId="3" fillId="4" borderId="8" xfId="0" applyNumberFormat="1" applyFont="1" applyFill="1" applyBorder="1" applyAlignment="1">
      <alignment horizontal="center" vertical="center" wrapText="1"/>
    </xf>
    <xf numFmtId="165" fontId="3" fillId="4" borderId="9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164" fontId="2" fillId="4" borderId="10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164" fontId="2" fillId="4" borderId="15" xfId="0" applyNumberFormat="1" applyFont="1" applyFill="1" applyBorder="1" applyAlignment="1">
      <alignment horizontal="center" vertical="center" wrapText="1"/>
    </xf>
    <xf numFmtId="164" fontId="2" fillId="4" borderId="20" xfId="0" applyNumberFormat="1" applyFont="1" applyFill="1" applyBorder="1" applyAlignment="1">
      <alignment horizontal="center" vertical="center" wrapText="1"/>
    </xf>
    <xf numFmtId="164" fontId="2" fillId="4" borderId="12" xfId="0" applyNumberFormat="1" applyFont="1" applyFill="1" applyBorder="1" applyAlignment="1">
      <alignment horizontal="center" vertical="center" wrapText="1"/>
    </xf>
    <xf numFmtId="164" fontId="2" fillId="4" borderId="14" xfId="0" applyNumberFormat="1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vertical="center" wrapText="1"/>
    </xf>
    <xf numFmtId="0" fontId="2" fillId="0" borderId="15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165" fontId="2" fillId="0" borderId="0" xfId="0" applyNumberFormat="1" applyFont="1" applyFill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165" fontId="3" fillId="0" borderId="15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Border="1" applyAlignment="1">
      <alignment vertical="center"/>
    </xf>
    <xf numFmtId="4" fontId="9" fillId="0" borderId="0" xfId="0" applyNumberFormat="1" applyFont="1" applyBorder="1" applyAlignment="1">
      <alignment horizontal="right" vertical="center" wrapText="1"/>
    </xf>
    <xf numFmtId="4" fontId="9" fillId="0" borderId="15" xfId="0" applyNumberFormat="1" applyFont="1" applyBorder="1" applyAlignment="1">
      <alignment horizontal="right" vertical="center" wrapText="1"/>
    </xf>
    <xf numFmtId="43" fontId="2" fillId="7" borderId="1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justify" vertical="center" wrapText="1"/>
    </xf>
    <xf numFmtId="0" fontId="11" fillId="0" borderId="4" xfId="0" applyFont="1" applyBorder="1" applyAlignment="1">
      <alignment horizontal="center" vertical="center" wrapText="1"/>
    </xf>
  </cellXfs>
  <cellStyles count="4">
    <cellStyle name="Currency" xfId="1" builtinId="4"/>
    <cellStyle name="Normal" xfId="0" builtinId="0"/>
    <cellStyle name="Normal 2" xfId="3" xr:uid="{AA6536B8-9AC2-C24D-A8F1-9D855D6DAD28}"/>
    <cellStyle name="Vírgula 2" xfId="2" xr:uid="{CBF9646E-BA96-40F0-9741-BA6C9D4960AD}"/>
  </cellStyles>
  <dxfs count="0"/>
  <tableStyles count="0" defaultTableStyle="TableStyleMedium2" defaultPivotStyle="PivotStyleLight16"/>
  <colors>
    <mruColors>
      <color rgb="FFF9DEFF"/>
      <color rgb="FFFBFFB9"/>
      <color rgb="FF00FB92"/>
      <color rgb="FF0432FF"/>
      <color rgb="FFFFF2AC"/>
      <color rgb="FF37E153"/>
      <color rgb="FF5664E3"/>
      <color rgb="FFFC28FF"/>
      <color rgb="FF5664E2"/>
      <color rgb="FF289D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648798</xdr:colOff>
      <xdr:row>0</xdr:row>
      <xdr:rowOff>0</xdr:rowOff>
    </xdr:from>
    <xdr:ext cx="5490392" cy="695803"/>
    <xdr:pic>
      <xdr:nvPicPr>
        <xdr:cNvPr id="2" name="image1.jpeg">
          <a:extLst>
            <a:ext uri="{FF2B5EF4-FFF2-40B4-BE49-F238E27FC236}">
              <a16:creationId xmlns:a16="http://schemas.microsoft.com/office/drawing/2014/main" id="{AF262C78-3AF3-8448-AFDA-E927ACA72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7198" y="0"/>
          <a:ext cx="5490392" cy="69580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695C-42EB-E24A-87B5-39FE18DB5EF6}">
  <sheetPr>
    <pageSetUpPr fitToPage="1"/>
  </sheetPr>
  <dimension ref="A1:L171"/>
  <sheetViews>
    <sheetView tabSelected="1" zoomScale="75" zoomScaleNormal="75" workbookViewId="0">
      <selection activeCell="I11" sqref="I11"/>
    </sheetView>
  </sheetViews>
  <sheetFormatPr baseColWidth="10" defaultColWidth="8.83203125" defaultRowHeight="15" x14ac:dyDescent="0.2"/>
  <cols>
    <col min="1" max="1" width="10.5" customWidth="1"/>
    <col min="2" max="2" width="71.5" customWidth="1"/>
    <col min="3" max="3" width="18.33203125" customWidth="1"/>
    <col min="4" max="4" width="21" customWidth="1"/>
    <col min="5" max="5" width="19.33203125" customWidth="1"/>
    <col min="6" max="6" width="19.5" customWidth="1"/>
    <col min="7" max="7" width="21.5" customWidth="1"/>
    <col min="8" max="8" width="20.5" customWidth="1"/>
    <col min="9" max="9" width="68.33203125" customWidth="1"/>
    <col min="10" max="10" width="11.1640625" bestFit="1" customWidth="1"/>
    <col min="12" max="12" width="13.5" bestFit="1" customWidth="1"/>
  </cols>
  <sheetData>
    <row r="1" spans="1:10" ht="16" x14ac:dyDescent="0.2">
      <c r="A1" s="60"/>
      <c r="B1" s="60"/>
      <c r="C1" s="60"/>
      <c r="D1" s="60"/>
      <c r="E1" s="60"/>
      <c r="F1" s="60"/>
      <c r="G1" s="60"/>
      <c r="H1" s="268"/>
      <c r="I1" s="269"/>
      <c r="J1" s="269"/>
    </row>
    <row r="2" spans="1:10" ht="16" x14ac:dyDescent="0.2">
      <c r="A2" s="189" t="s">
        <v>33</v>
      </c>
      <c r="B2" s="190"/>
      <c r="C2" s="190"/>
      <c r="D2" s="190"/>
      <c r="E2" s="190"/>
      <c r="F2" s="190"/>
      <c r="G2" s="191"/>
      <c r="H2" s="268"/>
      <c r="I2" s="269"/>
      <c r="J2" s="269"/>
    </row>
    <row r="3" spans="1:10" ht="23" customHeight="1" x14ac:dyDescent="0.2">
      <c r="A3" s="192"/>
      <c r="B3" s="193"/>
      <c r="C3" s="193"/>
      <c r="D3" s="193"/>
      <c r="E3" s="193"/>
      <c r="F3" s="193"/>
      <c r="G3" s="194"/>
      <c r="H3" s="268"/>
      <c r="I3" s="269"/>
      <c r="J3" s="269"/>
    </row>
    <row r="4" spans="1:10" ht="16" x14ac:dyDescent="0.2">
      <c r="A4" s="60"/>
      <c r="B4" s="60"/>
      <c r="C4" s="60"/>
      <c r="D4" s="60"/>
      <c r="E4" s="60"/>
      <c r="F4" s="60"/>
      <c r="G4" s="60"/>
      <c r="H4" s="268"/>
      <c r="I4" s="269"/>
      <c r="J4" s="269"/>
    </row>
    <row r="5" spans="1:10" ht="16" x14ac:dyDescent="0.2">
      <c r="A5" s="60"/>
      <c r="B5" s="60"/>
      <c r="C5" s="60"/>
      <c r="D5" s="60"/>
      <c r="E5" s="60"/>
      <c r="F5" s="60"/>
      <c r="G5" s="60"/>
      <c r="H5" s="268"/>
      <c r="I5" s="269"/>
      <c r="J5" s="269"/>
    </row>
    <row r="6" spans="1:10" ht="20" customHeight="1" x14ac:dyDescent="0.2">
      <c r="A6" s="1" t="s">
        <v>29</v>
      </c>
      <c r="B6" s="1" t="s">
        <v>30</v>
      </c>
      <c r="C6" s="60"/>
      <c r="D6" s="60"/>
      <c r="E6" s="60"/>
      <c r="F6" s="60"/>
      <c r="G6" s="60"/>
      <c r="H6" s="268"/>
      <c r="I6" s="269"/>
      <c r="J6" s="269"/>
    </row>
    <row r="7" spans="1:10" ht="20" customHeight="1" x14ac:dyDescent="0.2">
      <c r="A7" s="50">
        <v>2</v>
      </c>
      <c r="B7" s="97" t="s">
        <v>254</v>
      </c>
      <c r="C7" s="60"/>
      <c r="D7" s="60"/>
      <c r="E7" s="60"/>
      <c r="F7" s="61">
        <f>94*45%</f>
        <v>42.300000000000004</v>
      </c>
      <c r="G7" s="60"/>
      <c r="H7" s="268"/>
      <c r="I7" s="269"/>
      <c r="J7" s="269"/>
    </row>
    <row r="8" spans="1:10" ht="20" customHeight="1" x14ac:dyDescent="0.2">
      <c r="A8" s="50">
        <f>Escolas!A16</f>
        <v>14</v>
      </c>
      <c r="B8" s="87" t="s">
        <v>31</v>
      </c>
      <c r="C8" s="60"/>
      <c r="D8" s="60"/>
      <c r="E8" s="60"/>
      <c r="F8" s="60"/>
      <c r="G8" s="60"/>
      <c r="H8" s="268"/>
      <c r="I8" s="269"/>
      <c r="J8" s="269"/>
    </row>
    <row r="9" spans="1:10" ht="20" customHeight="1" x14ac:dyDescent="0.2">
      <c r="A9" s="50">
        <f>Escolas!H17</f>
        <v>16</v>
      </c>
      <c r="B9" s="87" t="s">
        <v>48</v>
      </c>
      <c r="C9" s="60"/>
      <c r="D9" s="60"/>
      <c r="E9" s="60"/>
      <c r="F9" s="60"/>
      <c r="G9" s="60"/>
      <c r="H9" s="268"/>
      <c r="I9" s="269"/>
      <c r="J9" s="269"/>
    </row>
    <row r="10" spans="1:10" ht="20" customHeight="1" x14ac:dyDescent="0.2">
      <c r="A10" s="50">
        <f>Escolas!E17</f>
        <v>14</v>
      </c>
      <c r="B10" s="87" t="s">
        <v>49</v>
      </c>
      <c r="C10" s="60"/>
      <c r="D10" s="60"/>
      <c r="E10" s="60"/>
      <c r="F10" s="60"/>
      <c r="G10" s="60"/>
      <c r="H10" s="268"/>
      <c r="I10" s="269"/>
      <c r="J10" s="269"/>
    </row>
    <row r="11" spans="1:10" ht="20" customHeight="1" x14ac:dyDescent="0.2">
      <c r="A11" s="50">
        <f>Escolas!F17</f>
        <v>56</v>
      </c>
      <c r="B11" s="87" t="s">
        <v>50</v>
      </c>
      <c r="C11" s="60"/>
      <c r="D11" s="60"/>
      <c r="E11" s="60"/>
      <c r="F11" s="60"/>
      <c r="G11" s="60"/>
      <c r="H11" s="268"/>
      <c r="I11" s="269"/>
      <c r="J11" s="269"/>
    </row>
    <row r="12" spans="1:10" ht="20" customHeight="1" x14ac:dyDescent="0.2">
      <c r="A12" s="50">
        <f>Escolas!G17</f>
        <v>14</v>
      </c>
      <c r="B12" s="87" t="s">
        <v>51</v>
      </c>
      <c r="C12" s="60"/>
      <c r="D12" s="60"/>
      <c r="E12" s="60"/>
      <c r="F12" s="60"/>
      <c r="G12" s="60"/>
      <c r="H12" s="268"/>
      <c r="I12" s="269"/>
      <c r="J12" s="269"/>
    </row>
    <row r="13" spans="1:10" ht="20" customHeight="1" x14ac:dyDescent="0.2">
      <c r="A13" s="51">
        <f>Escolas!D17</f>
        <v>7116</v>
      </c>
      <c r="B13" s="87" t="s">
        <v>32</v>
      </c>
      <c r="C13" s="60"/>
      <c r="D13" s="60"/>
      <c r="E13" s="60"/>
      <c r="F13" s="60"/>
      <c r="G13" s="60"/>
      <c r="H13" s="268"/>
      <c r="I13" s="269"/>
      <c r="J13" s="269"/>
    </row>
    <row r="14" spans="1:10" ht="20" customHeight="1" x14ac:dyDescent="0.2">
      <c r="A14" s="23"/>
      <c r="B14" s="15"/>
      <c r="C14" s="60"/>
      <c r="D14" s="60"/>
      <c r="E14" s="60"/>
      <c r="F14" s="60"/>
      <c r="G14" s="60"/>
      <c r="H14" s="268"/>
      <c r="I14" s="269"/>
      <c r="J14" s="269"/>
    </row>
    <row r="15" spans="1:10" ht="16" x14ac:dyDescent="0.2">
      <c r="A15" s="22"/>
      <c r="B15" s="22"/>
      <c r="C15" s="22"/>
      <c r="D15" s="22"/>
      <c r="E15" s="22"/>
      <c r="F15" s="22"/>
      <c r="G15" s="22"/>
      <c r="H15" s="268"/>
      <c r="I15" s="269"/>
      <c r="J15" s="269"/>
    </row>
    <row r="16" spans="1:10" ht="16" x14ac:dyDescent="0.2">
      <c r="A16" s="22"/>
      <c r="B16" s="22"/>
      <c r="C16" s="22"/>
      <c r="D16" s="22"/>
      <c r="E16" s="22"/>
      <c r="F16" s="22"/>
      <c r="G16" s="22"/>
      <c r="H16" s="268"/>
      <c r="I16" s="269"/>
      <c r="J16" s="269"/>
    </row>
    <row r="17" spans="1:10" ht="30" customHeight="1" x14ac:dyDescent="0.2">
      <c r="A17" s="195" t="s">
        <v>53</v>
      </c>
      <c r="B17" s="196"/>
      <c r="C17" s="196"/>
      <c r="D17" s="196"/>
      <c r="E17" s="196"/>
      <c r="F17" s="196"/>
      <c r="G17" s="197"/>
      <c r="H17" s="268"/>
      <c r="I17" s="270"/>
      <c r="J17" s="269"/>
    </row>
    <row r="18" spans="1:10" ht="30" customHeight="1" x14ac:dyDescent="0.2">
      <c r="A18" s="29" t="s">
        <v>128</v>
      </c>
      <c r="B18" s="30" t="s">
        <v>55</v>
      </c>
      <c r="C18" s="27" t="s">
        <v>0</v>
      </c>
      <c r="D18" s="198" t="s">
        <v>36</v>
      </c>
      <c r="E18" s="199"/>
      <c r="F18" s="28" t="s">
        <v>1</v>
      </c>
      <c r="G18" s="29" t="s">
        <v>2</v>
      </c>
      <c r="H18" s="268"/>
      <c r="I18" s="271"/>
      <c r="J18" s="269"/>
    </row>
    <row r="19" spans="1:10" ht="50" customHeight="1" x14ac:dyDescent="0.2">
      <c r="A19" s="90">
        <v>1</v>
      </c>
      <c r="B19" s="94" t="s">
        <v>146</v>
      </c>
      <c r="C19" s="90" t="s">
        <v>9</v>
      </c>
      <c r="D19" s="200">
        <v>1</v>
      </c>
      <c r="E19" s="201"/>
      <c r="F19" s="92">
        <f>85000+60000+67310.03</f>
        <v>212310.03</v>
      </c>
      <c r="G19" s="92">
        <f>F19*D19</f>
        <v>212310.03</v>
      </c>
      <c r="H19" s="268"/>
      <c r="I19" s="272"/>
      <c r="J19" s="269"/>
    </row>
    <row r="20" spans="1:10" ht="75" customHeight="1" x14ac:dyDescent="0.2">
      <c r="A20" s="90">
        <v>2</v>
      </c>
      <c r="B20" s="95" t="s">
        <v>147</v>
      </c>
      <c r="C20" s="91" t="s">
        <v>85</v>
      </c>
      <c r="D20" s="202">
        <f>A13</f>
        <v>7116</v>
      </c>
      <c r="E20" s="203"/>
      <c r="F20" s="8">
        <v>132</v>
      </c>
      <c r="G20" s="96">
        <f>D20*F20</f>
        <v>939312</v>
      </c>
      <c r="H20" s="268"/>
      <c r="I20" s="272"/>
      <c r="J20" s="269"/>
    </row>
    <row r="21" spans="1:10" ht="68" customHeight="1" x14ac:dyDescent="0.2">
      <c r="A21" s="90">
        <v>3</v>
      </c>
      <c r="B21" s="93" t="s">
        <v>86</v>
      </c>
      <c r="C21" s="91" t="s">
        <v>85</v>
      </c>
      <c r="D21" s="211">
        <v>1</v>
      </c>
      <c r="E21" s="212"/>
      <c r="F21" s="96">
        <f>334975.29-6926.95</f>
        <v>328048.33999999997</v>
      </c>
      <c r="G21" s="96">
        <f>D21*F21</f>
        <v>328048.33999999997</v>
      </c>
      <c r="H21" s="273"/>
      <c r="I21" s="272"/>
      <c r="J21" s="269"/>
    </row>
    <row r="22" spans="1:10" ht="30" customHeight="1" x14ac:dyDescent="0.2">
      <c r="A22" s="77"/>
      <c r="B22" s="186" t="s">
        <v>7</v>
      </c>
      <c r="C22" s="187"/>
      <c r="D22" s="187"/>
      <c r="E22" s="187"/>
      <c r="F22" s="188"/>
      <c r="G22" s="20">
        <f>SUM(G19:G21)</f>
        <v>1479670.37</v>
      </c>
      <c r="H22" s="268"/>
      <c r="I22" s="274"/>
      <c r="J22" s="269"/>
    </row>
    <row r="23" spans="1:10" ht="20" customHeight="1" x14ac:dyDescent="0.2">
      <c r="A23" s="33"/>
      <c r="B23" s="34"/>
      <c r="C23" s="34"/>
      <c r="D23" s="34"/>
      <c r="E23" s="34"/>
      <c r="F23" s="34"/>
      <c r="G23" s="35"/>
      <c r="H23" s="268"/>
      <c r="I23" s="270"/>
      <c r="J23" s="269"/>
    </row>
    <row r="24" spans="1:10" ht="30" customHeight="1" x14ac:dyDescent="0.2">
      <c r="A24" s="213" t="s">
        <v>151</v>
      </c>
      <c r="B24" s="213"/>
      <c r="C24" s="213"/>
      <c r="D24" s="213"/>
      <c r="E24" s="213"/>
      <c r="F24" s="213"/>
      <c r="G24" s="213"/>
      <c r="H24" s="268"/>
      <c r="I24" s="270"/>
      <c r="J24" s="269"/>
    </row>
    <row r="25" spans="1:10" ht="30" customHeight="1" x14ac:dyDescent="0.2">
      <c r="A25" s="29" t="s">
        <v>128</v>
      </c>
      <c r="B25" s="58" t="s">
        <v>87</v>
      </c>
      <c r="C25" s="58" t="s">
        <v>0</v>
      </c>
      <c r="D25" s="183" t="s">
        <v>36</v>
      </c>
      <c r="E25" s="183"/>
      <c r="F25" s="58" t="s">
        <v>1</v>
      </c>
      <c r="G25" s="58" t="s">
        <v>2</v>
      </c>
      <c r="H25" s="268"/>
      <c r="I25" s="271"/>
      <c r="J25" s="269"/>
    </row>
    <row r="26" spans="1:10" ht="65" customHeight="1" x14ac:dyDescent="0.2">
      <c r="A26" s="78">
        <v>4</v>
      </c>
      <c r="B26" s="16" t="s">
        <v>40</v>
      </c>
      <c r="C26" s="5" t="s">
        <v>145</v>
      </c>
      <c r="D26" s="204">
        <f>A9+A10+A11+A12</f>
        <v>100</v>
      </c>
      <c r="E26" s="205"/>
      <c r="F26" s="17">
        <v>250</v>
      </c>
      <c r="G26" s="17">
        <f t="shared" ref="G26:G33" si="0">D26*F26</f>
        <v>25000</v>
      </c>
      <c r="H26" s="268"/>
      <c r="I26" s="275"/>
      <c r="J26" s="269"/>
    </row>
    <row r="27" spans="1:10" ht="65" customHeight="1" x14ac:dyDescent="0.2">
      <c r="A27" s="78">
        <v>5</v>
      </c>
      <c r="B27" s="16" t="s">
        <v>41</v>
      </c>
      <c r="C27" s="5" t="s">
        <v>145</v>
      </c>
      <c r="D27" s="204">
        <f>A9+A10</f>
        <v>30</v>
      </c>
      <c r="E27" s="205"/>
      <c r="F27" s="17">
        <v>250</v>
      </c>
      <c r="G27" s="17">
        <f t="shared" si="0"/>
        <v>7500</v>
      </c>
      <c r="H27" s="268"/>
      <c r="I27" s="275"/>
      <c r="J27" s="269"/>
    </row>
    <row r="28" spans="1:10" ht="65" customHeight="1" x14ac:dyDescent="0.2">
      <c r="A28" s="78">
        <v>6</v>
      </c>
      <c r="B28" s="16" t="s">
        <v>42</v>
      </c>
      <c r="C28" s="5" t="s">
        <v>145</v>
      </c>
      <c r="D28" s="204">
        <f>A9+A10</f>
        <v>30</v>
      </c>
      <c r="E28" s="205"/>
      <c r="F28" s="17">
        <v>250</v>
      </c>
      <c r="G28" s="17">
        <f t="shared" si="0"/>
        <v>7500</v>
      </c>
      <c r="H28" s="268"/>
      <c r="I28" s="275"/>
      <c r="J28" s="269"/>
    </row>
    <row r="29" spans="1:10" ht="65" customHeight="1" x14ac:dyDescent="0.2">
      <c r="A29" s="5">
        <v>7</v>
      </c>
      <c r="B29" s="13" t="s">
        <v>248</v>
      </c>
      <c r="C29" s="5" t="s">
        <v>145</v>
      </c>
      <c r="D29" s="172">
        <f>A9+A10</f>
        <v>30</v>
      </c>
      <c r="E29" s="206"/>
      <c r="F29" s="17">
        <v>250</v>
      </c>
      <c r="G29" s="17">
        <f t="shared" si="0"/>
        <v>7500</v>
      </c>
      <c r="H29" s="268"/>
      <c r="I29" s="275"/>
      <c r="J29" s="269"/>
    </row>
    <row r="30" spans="1:10" ht="65" customHeight="1" x14ac:dyDescent="0.2">
      <c r="A30" s="5">
        <v>8</v>
      </c>
      <c r="B30" s="13" t="s">
        <v>249</v>
      </c>
      <c r="C30" s="5" t="s">
        <v>145</v>
      </c>
      <c r="D30" s="172">
        <f>A13*25%</f>
        <v>1779</v>
      </c>
      <c r="E30" s="173"/>
      <c r="F30" s="17">
        <v>250</v>
      </c>
      <c r="G30" s="17">
        <f>D30*F30</f>
        <v>444750</v>
      </c>
      <c r="H30" s="268"/>
      <c r="I30" s="275"/>
      <c r="J30" s="269"/>
    </row>
    <row r="31" spans="1:10" ht="65" customHeight="1" x14ac:dyDescent="0.2">
      <c r="A31" s="5">
        <v>9</v>
      </c>
      <c r="B31" s="16" t="s">
        <v>43</v>
      </c>
      <c r="C31" s="5" t="s">
        <v>145</v>
      </c>
      <c r="D31" s="172">
        <f>A9+A10</f>
        <v>30</v>
      </c>
      <c r="E31" s="206"/>
      <c r="F31" s="17">
        <v>2800</v>
      </c>
      <c r="G31" s="17">
        <f t="shared" si="0"/>
        <v>84000</v>
      </c>
      <c r="H31" s="268"/>
      <c r="I31" s="275"/>
      <c r="J31" s="269"/>
    </row>
    <row r="32" spans="1:10" ht="65" customHeight="1" x14ac:dyDescent="0.2">
      <c r="A32" s="5">
        <v>10</v>
      </c>
      <c r="B32" s="39" t="s">
        <v>74</v>
      </c>
      <c r="C32" s="5" t="s">
        <v>145</v>
      </c>
      <c r="D32" s="207">
        <v>1500</v>
      </c>
      <c r="E32" s="208"/>
      <c r="F32" s="17">
        <v>250</v>
      </c>
      <c r="G32" s="17">
        <f t="shared" si="0"/>
        <v>375000</v>
      </c>
      <c r="H32" s="268"/>
      <c r="I32" s="275"/>
      <c r="J32" s="269"/>
    </row>
    <row r="33" spans="1:10" ht="65" customHeight="1" x14ac:dyDescent="0.2">
      <c r="A33" s="5">
        <v>11</v>
      </c>
      <c r="B33" s="32" t="s">
        <v>81</v>
      </c>
      <c r="C33" s="5" t="s">
        <v>4</v>
      </c>
      <c r="D33" s="209">
        <v>6</v>
      </c>
      <c r="E33" s="210">
        <v>2</v>
      </c>
      <c r="F33" s="6">
        <v>5000</v>
      </c>
      <c r="G33" s="17">
        <f t="shared" si="0"/>
        <v>30000</v>
      </c>
      <c r="H33" s="268"/>
      <c r="I33" s="275"/>
      <c r="J33" s="269"/>
    </row>
    <row r="34" spans="1:10" ht="65" customHeight="1" x14ac:dyDescent="0.2">
      <c r="A34" s="5">
        <v>12</v>
      </c>
      <c r="B34" s="39" t="s">
        <v>44</v>
      </c>
      <c r="C34" s="5" t="s">
        <v>4</v>
      </c>
      <c r="D34" s="204">
        <f>A8*3</f>
        <v>42</v>
      </c>
      <c r="E34" s="218"/>
      <c r="F34" s="17">
        <v>1500</v>
      </c>
      <c r="G34" s="17">
        <f t="shared" ref="G34:G37" si="1">D34*F34</f>
        <v>63000</v>
      </c>
      <c r="H34" s="268"/>
      <c r="I34" s="275"/>
      <c r="J34" s="269"/>
    </row>
    <row r="35" spans="1:10" ht="115" customHeight="1" x14ac:dyDescent="0.2">
      <c r="A35" s="5">
        <v>13</v>
      </c>
      <c r="B35" s="13" t="s">
        <v>150</v>
      </c>
      <c r="C35" s="57" t="s">
        <v>47</v>
      </c>
      <c r="D35" s="171">
        <v>1</v>
      </c>
      <c r="E35" s="171"/>
      <c r="F35" s="11">
        <v>259730</v>
      </c>
      <c r="G35" s="17">
        <f>D35*F35</f>
        <v>259730</v>
      </c>
      <c r="H35" s="268"/>
      <c r="I35" s="275"/>
      <c r="J35" s="269"/>
    </row>
    <row r="36" spans="1:10" ht="65" customHeight="1" x14ac:dyDescent="0.2">
      <c r="A36" s="5">
        <v>14</v>
      </c>
      <c r="B36" s="32" t="s">
        <v>149</v>
      </c>
      <c r="C36" s="5" t="s">
        <v>145</v>
      </c>
      <c r="D36" s="219">
        <f>A13*25%</f>
        <v>1779</v>
      </c>
      <c r="E36" s="220"/>
      <c r="F36" s="6">
        <v>250</v>
      </c>
      <c r="G36" s="17">
        <f t="shared" si="1"/>
        <v>444750</v>
      </c>
      <c r="H36" s="268"/>
      <c r="I36" s="275"/>
      <c r="J36" s="269"/>
    </row>
    <row r="37" spans="1:10" ht="65" customHeight="1" x14ac:dyDescent="0.2">
      <c r="A37" s="25">
        <v>15</v>
      </c>
      <c r="B37" s="72" t="s">
        <v>236</v>
      </c>
      <c r="C37" s="25" t="s">
        <v>145</v>
      </c>
      <c r="D37" s="207">
        <v>1500</v>
      </c>
      <c r="E37" s="208"/>
      <c r="F37" s="3">
        <v>250</v>
      </c>
      <c r="G37" s="70">
        <f t="shared" si="1"/>
        <v>375000</v>
      </c>
      <c r="H37" s="268"/>
      <c r="I37" s="275"/>
      <c r="J37" s="269"/>
    </row>
    <row r="38" spans="1:10" ht="30" customHeight="1" x14ac:dyDescent="0.2">
      <c r="A38" s="77"/>
      <c r="B38" s="214" t="s">
        <v>83</v>
      </c>
      <c r="C38" s="215"/>
      <c r="D38" s="215"/>
      <c r="E38" s="215"/>
      <c r="F38" s="216"/>
      <c r="G38" s="49">
        <f>SUM(G26:G37)</f>
        <v>2123730</v>
      </c>
      <c r="H38" s="268"/>
      <c r="I38" s="276"/>
      <c r="J38" s="269"/>
    </row>
    <row r="39" spans="1:10" ht="20" customHeight="1" x14ac:dyDescent="0.2">
      <c r="A39" s="33"/>
      <c r="B39" s="34"/>
      <c r="C39" s="34"/>
      <c r="D39" s="34"/>
      <c r="E39" s="34"/>
      <c r="F39" s="34"/>
      <c r="G39" s="35"/>
      <c r="H39" s="268"/>
      <c r="I39" s="276"/>
      <c r="J39" s="269"/>
    </row>
    <row r="40" spans="1:10" ht="30" customHeight="1" x14ac:dyDescent="0.2">
      <c r="A40" s="195" t="s">
        <v>52</v>
      </c>
      <c r="B40" s="196"/>
      <c r="C40" s="196"/>
      <c r="D40" s="196"/>
      <c r="E40" s="196"/>
      <c r="F40" s="196"/>
      <c r="G40" s="197"/>
      <c r="H40" s="268"/>
      <c r="I40" s="276"/>
      <c r="J40" s="269"/>
    </row>
    <row r="41" spans="1:10" ht="30" customHeight="1" x14ac:dyDescent="0.2">
      <c r="A41" s="79" t="s">
        <v>128</v>
      </c>
      <c r="B41" s="29" t="s">
        <v>56</v>
      </c>
      <c r="C41" s="29" t="s">
        <v>0</v>
      </c>
      <c r="D41" s="217" t="s">
        <v>36</v>
      </c>
      <c r="E41" s="217"/>
      <c r="F41" s="29" t="s">
        <v>1</v>
      </c>
      <c r="G41" s="29" t="s">
        <v>2</v>
      </c>
      <c r="H41" s="268"/>
      <c r="I41" s="277"/>
      <c r="J41" s="269"/>
    </row>
    <row r="42" spans="1:10" ht="110" customHeight="1" x14ac:dyDescent="0.2">
      <c r="A42" s="78">
        <v>17</v>
      </c>
      <c r="B42" s="13" t="s">
        <v>54</v>
      </c>
      <c r="C42" s="57" t="s">
        <v>10</v>
      </c>
      <c r="D42" s="171">
        <v>1</v>
      </c>
      <c r="E42" s="171"/>
      <c r="F42" s="9">
        <f>A13*5.1*12</f>
        <v>435499.19999999995</v>
      </c>
      <c r="G42" s="9">
        <f>F42*D42</f>
        <v>435499.19999999995</v>
      </c>
      <c r="H42" s="273"/>
      <c r="I42" s="275"/>
      <c r="J42" s="269"/>
    </row>
    <row r="43" spans="1:10" ht="46" customHeight="1" x14ac:dyDescent="0.2">
      <c r="A43" s="78">
        <v>18</v>
      </c>
      <c r="B43" s="13" t="s">
        <v>45</v>
      </c>
      <c r="C43" s="59" t="s">
        <v>10</v>
      </c>
      <c r="D43" s="184">
        <f>A13</f>
        <v>7116</v>
      </c>
      <c r="E43" s="185"/>
      <c r="F43" s="3">
        <v>12.5</v>
      </c>
      <c r="G43" s="8">
        <f>D43*F43*2</f>
        <v>177900</v>
      </c>
      <c r="H43" s="268"/>
      <c r="I43" s="275"/>
      <c r="J43" s="269"/>
    </row>
    <row r="44" spans="1:10" ht="30" customHeight="1" x14ac:dyDescent="0.2">
      <c r="A44" s="77"/>
      <c r="B44" s="186" t="s">
        <v>7</v>
      </c>
      <c r="C44" s="187"/>
      <c r="D44" s="187"/>
      <c r="E44" s="187"/>
      <c r="F44" s="188"/>
      <c r="G44" s="20">
        <f>SUM(G42:G43)</f>
        <v>613399.19999999995</v>
      </c>
      <c r="H44" s="268"/>
      <c r="I44" s="276"/>
      <c r="J44" s="269"/>
    </row>
    <row r="45" spans="1:10" ht="20" customHeight="1" x14ac:dyDescent="0.2">
      <c r="A45" s="33"/>
      <c r="B45" s="34"/>
      <c r="C45" s="34"/>
      <c r="D45" s="34"/>
      <c r="E45" s="34"/>
      <c r="F45" s="34"/>
      <c r="G45" s="35"/>
      <c r="H45" s="268"/>
      <c r="I45" s="276"/>
      <c r="J45" s="269"/>
    </row>
    <row r="46" spans="1:10" ht="15" customHeight="1" x14ac:dyDescent="0.2">
      <c r="A46" s="174" t="s">
        <v>88</v>
      </c>
      <c r="B46" s="175"/>
      <c r="C46" s="175"/>
      <c r="D46" s="175"/>
      <c r="E46" s="175"/>
      <c r="F46" s="175"/>
      <c r="G46" s="176"/>
      <c r="H46" s="268"/>
      <c r="I46" s="276"/>
      <c r="J46" s="269"/>
    </row>
    <row r="47" spans="1:10" ht="15" customHeight="1" x14ac:dyDescent="0.2">
      <c r="A47" s="177"/>
      <c r="B47" s="178"/>
      <c r="C47" s="178"/>
      <c r="D47" s="178"/>
      <c r="E47" s="178"/>
      <c r="F47" s="178"/>
      <c r="G47" s="179"/>
      <c r="H47" s="268"/>
      <c r="I47" s="276"/>
      <c r="J47" s="269"/>
    </row>
    <row r="48" spans="1:10" ht="30" customHeight="1" x14ac:dyDescent="0.2">
      <c r="A48" s="180" t="s">
        <v>57</v>
      </c>
      <c r="B48" s="181"/>
      <c r="C48" s="181"/>
      <c r="D48" s="181"/>
      <c r="E48" s="181"/>
      <c r="F48" s="181"/>
      <c r="G48" s="182"/>
      <c r="H48" s="268"/>
      <c r="I48" s="276"/>
      <c r="J48" s="269"/>
    </row>
    <row r="49" spans="1:10" ht="35" customHeight="1" x14ac:dyDescent="0.2">
      <c r="A49" s="29" t="s">
        <v>128</v>
      </c>
      <c r="B49" s="58" t="s">
        <v>57</v>
      </c>
      <c r="C49" s="58" t="s">
        <v>0</v>
      </c>
      <c r="D49" s="183" t="s">
        <v>36</v>
      </c>
      <c r="E49" s="183"/>
      <c r="F49" s="58" t="s">
        <v>1</v>
      </c>
      <c r="G49" s="58" t="s">
        <v>2</v>
      </c>
      <c r="H49" s="268"/>
      <c r="I49" s="277"/>
      <c r="J49" s="269"/>
    </row>
    <row r="50" spans="1:10" ht="77" customHeight="1" x14ac:dyDescent="0.2">
      <c r="A50" s="78">
        <v>19</v>
      </c>
      <c r="B50" s="69" t="s">
        <v>117</v>
      </c>
      <c r="C50" s="25" t="s">
        <v>12</v>
      </c>
      <c r="D50" s="172">
        <f t="shared" ref="D50:D57" si="2">$A$8*6</f>
        <v>84</v>
      </c>
      <c r="E50" s="173"/>
      <c r="F50" s="70">
        <v>129.9</v>
      </c>
      <c r="G50" s="71">
        <f>D50*F50</f>
        <v>10911.6</v>
      </c>
      <c r="H50" s="268"/>
      <c r="I50" s="275"/>
      <c r="J50" s="269"/>
    </row>
    <row r="51" spans="1:10" ht="68" x14ac:dyDescent="0.2">
      <c r="A51" s="74">
        <v>20</v>
      </c>
      <c r="B51" s="72" t="s">
        <v>118</v>
      </c>
      <c r="C51" s="25" t="s">
        <v>12</v>
      </c>
      <c r="D51" s="172">
        <f t="shared" si="2"/>
        <v>84</v>
      </c>
      <c r="E51" s="173"/>
      <c r="F51" s="70">
        <v>129.9</v>
      </c>
      <c r="G51" s="71">
        <f t="shared" ref="G51:G77" si="3">D51*F51</f>
        <v>10911.6</v>
      </c>
      <c r="H51" s="268"/>
      <c r="I51" s="275"/>
      <c r="J51" s="269"/>
    </row>
    <row r="52" spans="1:10" ht="90" customHeight="1" x14ac:dyDescent="0.2">
      <c r="A52" s="74">
        <v>21</v>
      </c>
      <c r="B52" s="7" t="s">
        <v>110</v>
      </c>
      <c r="C52" s="25" t="s">
        <v>12</v>
      </c>
      <c r="D52" s="172">
        <f t="shared" si="2"/>
        <v>84</v>
      </c>
      <c r="E52" s="173"/>
      <c r="F52" s="70">
        <v>149.9</v>
      </c>
      <c r="G52" s="71">
        <f t="shared" si="3"/>
        <v>12591.6</v>
      </c>
      <c r="H52" s="268"/>
      <c r="I52" s="275"/>
      <c r="J52" s="269"/>
    </row>
    <row r="53" spans="1:10" ht="95" customHeight="1" x14ac:dyDescent="0.2">
      <c r="A53" s="78">
        <v>22</v>
      </c>
      <c r="B53" s="7" t="s">
        <v>111</v>
      </c>
      <c r="C53" s="25" t="s">
        <v>12</v>
      </c>
      <c r="D53" s="172">
        <f t="shared" si="2"/>
        <v>84</v>
      </c>
      <c r="E53" s="173"/>
      <c r="F53" s="70">
        <v>149.9</v>
      </c>
      <c r="G53" s="71">
        <f t="shared" si="3"/>
        <v>12591.6</v>
      </c>
      <c r="H53" s="268"/>
      <c r="I53" s="275"/>
      <c r="J53" s="269"/>
    </row>
    <row r="54" spans="1:10" ht="68" x14ac:dyDescent="0.2">
      <c r="A54" s="78">
        <v>23</v>
      </c>
      <c r="B54" s="72" t="s">
        <v>124</v>
      </c>
      <c r="C54" s="25" t="s">
        <v>12</v>
      </c>
      <c r="D54" s="172">
        <f t="shared" si="2"/>
        <v>84</v>
      </c>
      <c r="E54" s="173"/>
      <c r="F54" s="70">
        <v>189.9</v>
      </c>
      <c r="G54" s="71">
        <f t="shared" si="3"/>
        <v>15951.6</v>
      </c>
      <c r="H54" s="268"/>
      <c r="I54" s="275"/>
      <c r="J54" s="269"/>
    </row>
    <row r="55" spans="1:10" ht="68" x14ac:dyDescent="0.2">
      <c r="A55" s="74">
        <v>24</v>
      </c>
      <c r="B55" s="7" t="s">
        <v>89</v>
      </c>
      <c r="C55" s="25" t="s">
        <v>12</v>
      </c>
      <c r="D55" s="172">
        <f t="shared" si="2"/>
        <v>84</v>
      </c>
      <c r="E55" s="173"/>
      <c r="F55" s="70">
        <v>189.9</v>
      </c>
      <c r="G55" s="71">
        <f t="shared" si="3"/>
        <v>15951.6</v>
      </c>
      <c r="H55" s="268"/>
      <c r="I55" s="275"/>
      <c r="J55" s="269"/>
    </row>
    <row r="56" spans="1:10" ht="57" customHeight="1" x14ac:dyDescent="0.2">
      <c r="A56" s="74">
        <v>25</v>
      </c>
      <c r="B56" s="7" t="s">
        <v>108</v>
      </c>
      <c r="C56" s="25" t="s">
        <v>12</v>
      </c>
      <c r="D56" s="172">
        <f t="shared" si="2"/>
        <v>84</v>
      </c>
      <c r="E56" s="173"/>
      <c r="F56" s="70">
        <v>189.9</v>
      </c>
      <c r="G56" s="71">
        <f t="shared" si="3"/>
        <v>15951.6</v>
      </c>
      <c r="H56" s="268"/>
      <c r="I56" s="275"/>
      <c r="J56" s="269"/>
    </row>
    <row r="57" spans="1:10" ht="77" customHeight="1" x14ac:dyDescent="0.2">
      <c r="A57" s="78">
        <v>26</v>
      </c>
      <c r="B57" s="7" t="s">
        <v>90</v>
      </c>
      <c r="C57" s="25" t="s">
        <v>12</v>
      </c>
      <c r="D57" s="172">
        <f t="shared" si="2"/>
        <v>84</v>
      </c>
      <c r="E57" s="173"/>
      <c r="F57" s="70">
        <v>189.9</v>
      </c>
      <c r="G57" s="71">
        <f t="shared" si="3"/>
        <v>15951.6</v>
      </c>
      <c r="H57" s="268"/>
      <c r="I57" s="275"/>
      <c r="J57" s="269"/>
    </row>
    <row r="58" spans="1:10" ht="51" x14ac:dyDescent="0.2">
      <c r="A58" s="78">
        <v>27</v>
      </c>
      <c r="B58" s="7" t="s">
        <v>112</v>
      </c>
      <c r="C58" s="74" t="s">
        <v>15</v>
      </c>
      <c r="D58" s="172">
        <f>$A$8*2</f>
        <v>28</v>
      </c>
      <c r="E58" s="173"/>
      <c r="F58" s="70">
        <v>69.900000000000006</v>
      </c>
      <c r="G58" s="71">
        <f t="shared" si="3"/>
        <v>1957.2000000000003</v>
      </c>
      <c r="H58" s="268"/>
      <c r="I58" s="275"/>
      <c r="J58" s="269"/>
    </row>
    <row r="59" spans="1:10" ht="59" customHeight="1" x14ac:dyDescent="0.2">
      <c r="A59" s="74">
        <v>28</v>
      </c>
      <c r="B59" s="7" t="s">
        <v>113</v>
      </c>
      <c r="C59" s="25" t="s">
        <v>15</v>
      </c>
      <c r="D59" s="172">
        <f>$A$8*2</f>
        <v>28</v>
      </c>
      <c r="E59" s="173"/>
      <c r="F59" s="70">
        <v>269.89999999999998</v>
      </c>
      <c r="G59" s="71">
        <f t="shared" si="3"/>
        <v>7557.1999999999989</v>
      </c>
      <c r="H59" s="268"/>
      <c r="I59" s="275"/>
      <c r="J59" s="269"/>
    </row>
    <row r="60" spans="1:10" ht="72" customHeight="1" x14ac:dyDescent="0.2">
      <c r="A60" s="74">
        <v>29</v>
      </c>
      <c r="B60" s="7" t="s">
        <v>119</v>
      </c>
      <c r="C60" s="25" t="s">
        <v>12</v>
      </c>
      <c r="D60" s="172">
        <f>$A$8*2</f>
        <v>28</v>
      </c>
      <c r="E60" s="173"/>
      <c r="F60" s="70">
        <v>299.89999999999998</v>
      </c>
      <c r="G60" s="71">
        <f t="shared" si="3"/>
        <v>8397.1999999999989</v>
      </c>
      <c r="H60" s="268"/>
      <c r="I60" s="275"/>
      <c r="J60" s="269"/>
    </row>
    <row r="61" spans="1:10" ht="43" customHeight="1" x14ac:dyDescent="0.2">
      <c r="A61" s="78">
        <v>30</v>
      </c>
      <c r="B61" s="7" t="s">
        <v>91</v>
      </c>
      <c r="C61" s="25" t="s">
        <v>12</v>
      </c>
      <c r="D61" s="172">
        <f>$A$8*6</f>
        <v>84</v>
      </c>
      <c r="E61" s="173"/>
      <c r="F61" s="70">
        <v>9.9</v>
      </c>
      <c r="G61" s="71">
        <f t="shared" si="3"/>
        <v>831.6</v>
      </c>
      <c r="H61" s="268"/>
      <c r="I61" s="275"/>
      <c r="J61" s="269"/>
    </row>
    <row r="62" spans="1:10" ht="39" customHeight="1" x14ac:dyDescent="0.2">
      <c r="A62" s="78">
        <v>31</v>
      </c>
      <c r="B62" s="7" t="s">
        <v>92</v>
      </c>
      <c r="C62" s="25" t="s">
        <v>12</v>
      </c>
      <c r="D62" s="172">
        <f>$A$8*6</f>
        <v>84</v>
      </c>
      <c r="E62" s="173"/>
      <c r="F62" s="70">
        <v>12.9</v>
      </c>
      <c r="G62" s="71">
        <f t="shared" si="3"/>
        <v>1083.6000000000001</v>
      </c>
      <c r="H62" s="268"/>
      <c r="I62" s="275"/>
      <c r="J62" s="269"/>
    </row>
    <row r="63" spans="1:10" ht="40" customHeight="1" x14ac:dyDescent="0.2">
      <c r="A63" s="74">
        <v>32</v>
      </c>
      <c r="B63" s="7" t="s">
        <v>109</v>
      </c>
      <c r="C63" s="25" t="s">
        <v>12</v>
      </c>
      <c r="D63" s="172">
        <f>$A$8*3</f>
        <v>42</v>
      </c>
      <c r="E63" s="173"/>
      <c r="F63" s="70">
        <v>59.9</v>
      </c>
      <c r="G63" s="71">
        <f t="shared" si="3"/>
        <v>2515.7999999999997</v>
      </c>
      <c r="H63" s="268"/>
      <c r="I63" s="275"/>
      <c r="J63" s="269"/>
    </row>
    <row r="64" spans="1:10" ht="43" customHeight="1" x14ac:dyDescent="0.2">
      <c r="A64" s="74">
        <v>33</v>
      </c>
      <c r="B64" s="7" t="s">
        <v>93</v>
      </c>
      <c r="C64" s="25" t="s">
        <v>12</v>
      </c>
      <c r="D64" s="172">
        <f>$A$8*6</f>
        <v>84</v>
      </c>
      <c r="E64" s="173"/>
      <c r="F64" s="70">
        <v>29.9</v>
      </c>
      <c r="G64" s="71">
        <f t="shared" si="3"/>
        <v>2511.6</v>
      </c>
      <c r="H64" s="268"/>
      <c r="I64" s="275"/>
      <c r="J64" s="269"/>
    </row>
    <row r="65" spans="1:10" ht="45" customHeight="1" x14ac:dyDescent="0.2">
      <c r="A65" s="78">
        <v>34</v>
      </c>
      <c r="B65" s="7" t="s">
        <v>94</v>
      </c>
      <c r="C65" s="25" t="s">
        <v>12</v>
      </c>
      <c r="D65" s="172">
        <f>$A$8*3</f>
        <v>42</v>
      </c>
      <c r="E65" s="173"/>
      <c r="F65" s="70">
        <v>59.9</v>
      </c>
      <c r="G65" s="71">
        <f t="shared" si="3"/>
        <v>2515.7999999999997</v>
      </c>
      <c r="H65" s="268"/>
      <c r="I65" s="275"/>
      <c r="J65" s="269"/>
    </row>
    <row r="66" spans="1:10" ht="77" customHeight="1" x14ac:dyDescent="0.2">
      <c r="A66" s="78">
        <v>35</v>
      </c>
      <c r="B66" s="7" t="s">
        <v>95</v>
      </c>
      <c r="C66" s="74" t="s">
        <v>12</v>
      </c>
      <c r="D66" s="172">
        <f>$A$8*6</f>
        <v>84</v>
      </c>
      <c r="E66" s="173"/>
      <c r="F66" s="70">
        <v>39.9</v>
      </c>
      <c r="G66" s="71">
        <f t="shared" si="3"/>
        <v>3351.6</v>
      </c>
      <c r="H66" s="268"/>
      <c r="I66" s="275"/>
      <c r="J66" s="269"/>
    </row>
    <row r="67" spans="1:10" ht="181" customHeight="1" x14ac:dyDescent="0.2">
      <c r="A67" s="74">
        <v>36</v>
      </c>
      <c r="B67" s="73" t="s">
        <v>96</v>
      </c>
      <c r="C67" s="25" t="s">
        <v>12</v>
      </c>
      <c r="D67" s="172">
        <f>$A$8*6</f>
        <v>84</v>
      </c>
      <c r="E67" s="173"/>
      <c r="F67" s="10">
        <v>29.9</v>
      </c>
      <c r="G67" s="71">
        <f t="shared" si="3"/>
        <v>2511.6</v>
      </c>
      <c r="H67" s="268"/>
      <c r="I67" s="275"/>
      <c r="J67" s="269"/>
    </row>
    <row r="68" spans="1:10" ht="57" customHeight="1" x14ac:dyDescent="0.2">
      <c r="A68" s="74">
        <v>37</v>
      </c>
      <c r="B68" s="73" t="s">
        <v>97</v>
      </c>
      <c r="C68" s="25" t="s">
        <v>17</v>
      </c>
      <c r="D68" s="172">
        <f>$A$8*6</f>
        <v>84</v>
      </c>
      <c r="E68" s="173"/>
      <c r="F68" s="10">
        <v>479.9</v>
      </c>
      <c r="G68" s="71">
        <f t="shared" si="3"/>
        <v>40311.599999999999</v>
      </c>
      <c r="H68" s="268"/>
      <c r="I68" s="275"/>
      <c r="J68" s="269"/>
    </row>
    <row r="69" spans="1:10" ht="93" customHeight="1" x14ac:dyDescent="0.2">
      <c r="A69" s="78">
        <v>38</v>
      </c>
      <c r="B69" s="73" t="s">
        <v>125</v>
      </c>
      <c r="C69" s="25" t="s">
        <v>18</v>
      </c>
      <c r="D69" s="172">
        <f>$A$8*3</f>
        <v>42</v>
      </c>
      <c r="E69" s="173"/>
      <c r="F69" s="70">
        <v>129.9</v>
      </c>
      <c r="G69" s="71">
        <f t="shared" si="3"/>
        <v>5455.8</v>
      </c>
      <c r="H69" s="268"/>
      <c r="I69" s="275"/>
      <c r="J69" s="269"/>
    </row>
    <row r="70" spans="1:10" ht="39" customHeight="1" x14ac:dyDescent="0.2">
      <c r="A70" s="78">
        <v>39</v>
      </c>
      <c r="B70" s="73" t="s">
        <v>120</v>
      </c>
      <c r="C70" s="25" t="s">
        <v>16</v>
      </c>
      <c r="D70" s="172">
        <f>$A$8*2</f>
        <v>28</v>
      </c>
      <c r="E70" s="173"/>
      <c r="F70" s="70">
        <v>599</v>
      </c>
      <c r="G70" s="71">
        <f t="shared" si="3"/>
        <v>16772</v>
      </c>
      <c r="H70" s="268"/>
      <c r="I70" s="275"/>
      <c r="J70" s="269"/>
    </row>
    <row r="71" spans="1:10" ht="49" customHeight="1" x14ac:dyDescent="0.2">
      <c r="A71" s="74">
        <v>40</v>
      </c>
      <c r="B71" s="14" t="s">
        <v>126</v>
      </c>
      <c r="C71" s="25" t="s">
        <v>12</v>
      </c>
      <c r="D71" s="172">
        <f>$A$8*2</f>
        <v>28</v>
      </c>
      <c r="E71" s="173"/>
      <c r="F71" s="70">
        <v>149.9</v>
      </c>
      <c r="G71" s="71">
        <f t="shared" si="3"/>
        <v>4197.2</v>
      </c>
      <c r="H71" s="268"/>
      <c r="I71" s="275"/>
      <c r="J71" s="269"/>
    </row>
    <row r="72" spans="1:10" ht="59" customHeight="1" x14ac:dyDescent="0.2">
      <c r="A72" s="74">
        <v>41</v>
      </c>
      <c r="B72" s="14" t="s">
        <v>121</v>
      </c>
      <c r="C72" s="25" t="s">
        <v>12</v>
      </c>
      <c r="D72" s="172">
        <f>$A$8*4</f>
        <v>56</v>
      </c>
      <c r="E72" s="173"/>
      <c r="F72" s="70">
        <v>89.9</v>
      </c>
      <c r="G72" s="71">
        <f t="shared" si="3"/>
        <v>5034.4000000000005</v>
      </c>
      <c r="H72" s="268"/>
      <c r="I72" s="275"/>
      <c r="J72" s="269"/>
    </row>
    <row r="73" spans="1:10" ht="51" x14ac:dyDescent="0.2">
      <c r="A73" s="78">
        <v>42</v>
      </c>
      <c r="B73" s="73" t="s">
        <v>122</v>
      </c>
      <c r="C73" s="25" t="s">
        <v>12</v>
      </c>
      <c r="D73" s="172">
        <f>$A$8*4</f>
        <v>56</v>
      </c>
      <c r="E73" s="173"/>
      <c r="F73" s="70">
        <v>79.900000000000006</v>
      </c>
      <c r="G73" s="71">
        <f t="shared" si="3"/>
        <v>4474.4000000000005</v>
      </c>
      <c r="H73" s="268"/>
      <c r="I73" s="275"/>
      <c r="J73" s="269"/>
    </row>
    <row r="74" spans="1:10" ht="51" x14ac:dyDescent="0.2">
      <c r="A74" s="78">
        <v>43</v>
      </c>
      <c r="B74" s="73" t="s">
        <v>98</v>
      </c>
      <c r="C74" s="74" t="s">
        <v>12</v>
      </c>
      <c r="D74" s="172">
        <f>$A$8</f>
        <v>14</v>
      </c>
      <c r="E74" s="173"/>
      <c r="F74" s="70">
        <v>295</v>
      </c>
      <c r="G74" s="71">
        <f t="shared" si="3"/>
        <v>4130</v>
      </c>
      <c r="H74" s="268"/>
      <c r="I74" s="275"/>
      <c r="J74" s="269"/>
    </row>
    <row r="75" spans="1:10" ht="136" x14ac:dyDescent="0.2">
      <c r="A75" s="74">
        <v>44</v>
      </c>
      <c r="B75" s="73" t="s">
        <v>114</v>
      </c>
      <c r="C75" s="74" t="s">
        <v>15</v>
      </c>
      <c r="D75" s="172">
        <f>$A$8</f>
        <v>14</v>
      </c>
      <c r="E75" s="173"/>
      <c r="F75" s="70">
        <v>3990</v>
      </c>
      <c r="G75" s="71">
        <f t="shared" si="3"/>
        <v>55860</v>
      </c>
      <c r="H75" s="268"/>
      <c r="I75" s="275"/>
      <c r="J75" s="269"/>
    </row>
    <row r="76" spans="1:10" ht="51" x14ac:dyDescent="0.2">
      <c r="A76" s="74">
        <v>45</v>
      </c>
      <c r="B76" s="73" t="s">
        <v>99</v>
      </c>
      <c r="C76" s="74" t="s">
        <v>13</v>
      </c>
      <c r="D76" s="172">
        <f>$A$8*6</f>
        <v>84</v>
      </c>
      <c r="E76" s="173"/>
      <c r="F76" s="70">
        <v>69.900000000000006</v>
      </c>
      <c r="G76" s="71">
        <f t="shared" si="3"/>
        <v>5871.6</v>
      </c>
      <c r="H76" s="268"/>
      <c r="I76" s="275"/>
      <c r="J76" s="269"/>
    </row>
    <row r="77" spans="1:10" ht="41" customHeight="1" x14ac:dyDescent="0.2">
      <c r="A77" s="78">
        <v>46</v>
      </c>
      <c r="B77" s="68" t="s">
        <v>123</v>
      </c>
      <c r="C77" s="74" t="s">
        <v>13</v>
      </c>
      <c r="D77" s="172">
        <f>$A$8*10</f>
        <v>140</v>
      </c>
      <c r="E77" s="173"/>
      <c r="F77" s="75">
        <v>12.9</v>
      </c>
      <c r="G77" s="71">
        <f t="shared" si="3"/>
        <v>1806</v>
      </c>
      <c r="H77" s="268"/>
      <c r="I77" s="275"/>
      <c r="J77" s="269"/>
    </row>
    <row r="78" spans="1:10" ht="30" customHeight="1" x14ac:dyDescent="0.2">
      <c r="A78" s="31"/>
      <c r="B78" s="221" t="s">
        <v>7</v>
      </c>
      <c r="C78" s="222"/>
      <c r="D78" s="222"/>
      <c r="E78" s="222"/>
      <c r="F78" s="223"/>
      <c r="G78" s="64">
        <f>SUM(G50:G77)</f>
        <v>287959</v>
      </c>
      <c r="H78" s="268"/>
      <c r="I78" s="276"/>
      <c r="J78" s="269"/>
    </row>
    <row r="79" spans="1:10" ht="30" customHeight="1" x14ac:dyDescent="0.2">
      <c r="A79" s="74"/>
      <c r="B79" s="224" t="s">
        <v>58</v>
      </c>
      <c r="C79" s="225"/>
      <c r="D79" s="225"/>
      <c r="E79" s="225"/>
      <c r="F79" s="225"/>
      <c r="G79" s="226"/>
      <c r="H79" s="268"/>
      <c r="I79" s="276"/>
      <c r="J79" s="269"/>
    </row>
    <row r="80" spans="1:10" ht="30" customHeight="1" x14ac:dyDescent="0.2">
      <c r="A80" s="29" t="s">
        <v>128</v>
      </c>
      <c r="B80" s="54" t="s">
        <v>62</v>
      </c>
      <c r="C80" s="54" t="s">
        <v>0</v>
      </c>
      <c r="D80" s="227" t="s">
        <v>36</v>
      </c>
      <c r="E80" s="227"/>
      <c r="F80" s="54" t="s">
        <v>1</v>
      </c>
      <c r="G80" s="54" t="s">
        <v>2</v>
      </c>
      <c r="H80" s="268"/>
      <c r="I80" s="277"/>
      <c r="J80" s="269"/>
    </row>
    <row r="81" spans="1:10" ht="30" customHeight="1" x14ac:dyDescent="0.2">
      <c r="A81" s="102">
        <v>47</v>
      </c>
      <c r="B81" s="283" t="s">
        <v>143</v>
      </c>
      <c r="C81" s="284" t="s">
        <v>11</v>
      </c>
      <c r="D81" s="287">
        <f>3*5</f>
        <v>15</v>
      </c>
      <c r="E81" s="288"/>
      <c r="F81" s="10">
        <v>1133.67</v>
      </c>
      <c r="G81" s="8">
        <f t="shared" ref="G81:G94" si="4">F81*D81</f>
        <v>17005.050000000003</v>
      </c>
      <c r="H81" s="268"/>
      <c r="I81" s="275"/>
      <c r="J81" s="269"/>
    </row>
    <row r="82" spans="1:10" ht="32" customHeight="1" x14ac:dyDescent="0.2">
      <c r="A82" s="74">
        <v>48</v>
      </c>
      <c r="B82" s="285" t="s">
        <v>100</v>
      </c>
      <c r="C82" s="284" t="s">
        <v>11</v>
      </c>
      <c r="D82" s="289">
        <f>3*4</f>
        <v>12</v>
      </c>
      <c r="E82" s="290"/>
      <c r="F82" s="10">
        <v>79.900000000000006</v>
      </c>
      <c r="G82" s="8">
        <f t="shared" si="4"/>
        <v>958.80000000000007</v>
      </c>
      <c r="H82" s="268"/>
      <c r="I82" s="275"/>
      <c r="J82" s="269"/>
    </row>
    <row r="83" spans="1:10" ht="28" customHeight="1" x14ac:dyDescent="0.2">
      <c r="A83" s="102">
        <v>49</v>
      </c>
      <c r="B83" s="285" t="s">
        <v>101</v>
      </c>
      <c r="C83" s="284" t="s">
        <v>11</v>
      </c>
      <c r="D83" s="289">
        <f>3*4</f>
        <v>12</v>
      </c>
      <c r="E83" s="290"/>
      <c r="F83" s="10">
        <v>29.9</v>
      </c>
      <c r="G83" s="8">
        <f t="shared" si="4"/>
        <v>358.79999999999995</v>
      </c>
      <c r="H83" s="268"/>
      <c r="I83" s="275"/>
      <c r="J83" s="269"/>
    </row>
    <row r="84" spans="1:10" ht="30" customHeight="1" x14ac:dyDescent="0.2">
      <c r="A84" s="74">
        <v>50</v>
      </c>
      <c r="B84" s="286" t="s">
        <v>67</v>
      </c>
      <c r="C84" s="284" t="s">
        <v>11</v>
      </c>
      <c r="D84" s="289">
        <f>3*4</f>
        <v>12</v>
      </c>
      <c r="E84" s="290"/>
      <c r="F84" s="10">
        <v>69.900000000000006</v>
      </c>
      <c r="G84" s="8">
        <f t="shared" si="4"/>
        <v>838.80000000000007</v>
      </c>
      <c r="H84" s="268"/>
      <c r="I84" s="275"/>
      <c r="J84" s="269"/>
    </row>
    <row r="85" spans="1:10" ht="28" customHeight="1" x14ac:dyDescent="0.2">
      <c r="A85" s="102">
        <v>51</v>
      </c>
      <c r="B85" s="285" t="s">
        <v>14</v>
      </c>
      <c r="C85" s="284" t="s">
        <v>11</v>
      </c>
      <c r="D85" s="289">
        <f>3*4</f>
        <v>12</v>
      </c>
      <c r="E85" s="290"/>
      <c r="F85" s="10">
        <v>39.9</v>
      </c>
      <c r="G85" s="8">
        <f t="shared" si="4"/>
        <v>478.79999999999995</v>
      </c>
      <c r="H85" s="268"/>
      <c r="I85" s="275"/>
      <c r="J85" s="269"/>
    </row>
    <row r="86" spans="1:10" ht="38" customHeight="1" x14ac:dyDescent="0.2">
      <c r="A86" s="74">
        <v>52</v>
      </c>
      <c r="B86" s="286" t="s">
        <v>257</v>
      </c>
      <c r="C86" s="284" t="s">
        <v>11</v>
      </c>
      <c r="D86" s="289">
        <f>3*6</f>
        <v>18</v>
      </c>
      <c r="E86" s="290"/>
      <c r="F86" s="10">
        <v>129.9</v>
      </c>
      <c r="G86" s="8">
        <f t="shared" si="4"/>
        <v>2338.2000000000003</v>
      </c>
      <c r="H86" s="268"/>
      <c r="I86" s="275"/>
      <c r="J86" s="269"/>
    </row>
    <row r="87" spans="1:10" ht="45" customHeight="1" x14ac:dyDescent="0.2">
      <c r="A87" s="102">
        <v>53</v>
      </c>
      <c r="B87" s="286" t="s">
        <v>68</v>
      </c>
      <c r="C87" s="284" t="s">
        <v>11</v>
      </c>
      <c r="D87" s="289">
        <f>3*6</f>
        <v>18</v>
      </c>
      <c r="E87" s="290"/>
      <c r="F87" s="10">
        <v>29.9</v>
      </c>
      <c r="G87" s="8">
        <f t="shared" si="4"/>
        <v>538.19999999999993</v>
      </c>
      <c r="H87" s="268"/>
      <c r="I87" s="275"/>
      <c r="J87" s="269"/>
    </row>
    <row r="88" spans="1:10" ht="39" customHeight="1" x14ac:dyDescent="0.2">
      <c r="A88" s="74">
        <v>54</v>
      </c>
      <c r="B88" s="286" t="s">
        <v>69</v>
      </c>
      <c r="C88" s="284" t="s">
        <v>11</v>
      </c>
      <c r="D88" s="289">
        <f>3*6</f>
        <v>18</v>
      </c>
      <c r="E88" s="290"/>
      <c r="F88" s="10">
        <v>77.400000000000006</v>
      </c>
      <c r="G88" s="8">
        <f t="shared" si="4"/>
        <v>1393.2</v>
      </c>
      <c r="H88" s="268"/>
      <c r="I88" s="275"/>
      <c r="J88" s="269"/>
    </row>
    <row r="89" spans="1:10" ht="94" customHeight="1" x14ac:dyDescent="0.2">
      <c r="A89" s="102">
        <v>55</v>
      </c>
      <c r="B89" s="286" t="s">
        <v>70</v>
      </c>
      <c r="C89" s="284" t="s">
        <v>11</v>
      </c>
      <c r="D89" s="289">
        <f>3*3</f>
        <v>9</v>
      </c>
      <c r="E89" s="290"/>
      <c r="F89" s="10">
        <v>1099</v>
      </c>
      <c r="G89" s="8">
        <f t="shared" si="4"/>
        <v>9891</v>
      </c>
      <c r="H89" s="268"/>
      <c r="I89" s="275"/>
      <c r="J89" s="269"/>
    </row>
    <row r="90" spans="1:10" ht="56" customHeight="1" x14ac:dyDescent="0.2">
      <c r="A90" s="74">
        <v>56</v>
      </c>
      <c r="B90" s="286" t="s">
        <v>71</v>
      </c>
      <c r="C90" s="284" t="s">
        <v>11</v>
      </c>
      <c r="D90" s="289">
        <f>3*3</f>
        <v>9</v>
      </c>
      <c r="E90" s="290"/>
      <c r="F90" s="10">
        <v>1099</v>
      </c>
      <c r="G90" s="8">
        <f t="shared" si="4"/>
        <v>9891</v>
      </c>
      <c r="H90" s="268"/>
      <c r="I90" s="275"/>
      <c r="J90" s="269"/>
    </row>
    <row r="91" spans="1:10" ht="102" x14ac:dyDescent="0.2">
      <c r="A91" s="102">
        <v>57</v>
      </c>
      <c r="B91" s="286" t="s">
        <v>102</v>
      </c>
      <c r="C91" s="284" t="s">
        <v>11</v>
      </c>
      <c r="D91" s="289">
        <f>3*3</f>
        <v>9</v>
      </c>
      <c r="E91" s="290"/>
      <c r="F91" s="10">
        <v>199.9</v>
      </c>
      <c r="G91" s="8">
        <f t="shared" si="4"/>
        <v>1799.1000000000001</v>
      </c>
      <c r="H91" s="268"/>
      <c r="I91" s="275"/>
      <c r="J91" s="269"/>
    </row>
    <row r="92" spans="1:10" ht="112" customHeight="1" x14ac:dyDescent="0.2">
      <c r="A92" s="74">
        <v>58</v>
      </c>
      <c r="B92" s="286" t="s">
        <v>103</v>
      </c>
      <c r="C92" s="284" t="s">
        <v>11</v>
      </c>
      <c r="D92" s="289">
        <f>3*3</f>
        <v>9</v>
      </c>
      <c r="E92" s="290"/>
      <c r="F92" s="10">
        <v>2499</v>
      </c>
      <c r="G92" s="8">
        <f t="shared" si="4"/>
        <v>22491</v>
      </c>
      <c r="H92" s="268"/>
      <c r="I92" s="275"/>
      <c r="J92" s="269"/>
    </row>
    <row r="93" spans="1:10" ht="62" customHeight="1" x14ac:dyDescent="0.2">
      <c r="A93" s="102">
        <v>59</v>
      </c>
      <c r="B93" s="286" t="s">
        <v>72</v>
      </c>
      <c r="C93" s="284" t="s">
        <v>11</v>
      </c>
      <c r="D93" s="289">
        <f>3*15</f>
        <v>45</v>
      </c>
      <c r="E93" s="290"/>
      <c r="F93" s="10">
        <v>19.899999999999999</v>
      </c>
      <c r="G93" s="8">
        <f t="shared" si="4"/>
        <v>895.49999999999989</v>
      </c>
      <c r="H93" s="268"/>
      <c r="I93" s="275"/>
      <c r="J93" s="269"/>
    </row>
    <row r="94" spans="1:10" ht="68" customHeight="1" x14ac:dyDescent="0.2">
      <c r="A94" s="74">
        <v>60</v>
      </c>
      <c r="B94" s="286" t="s">
        <v>73</v>
      </c>
      <c r="C94" s="284" t="s">
        <v>11</v>
      </c>
      <c r="D94" s="289">
        <f>3*3</f>
        <v>9</v>
      </c>
      <c r="E94" s="290"/>
      <c r="F94" s="10">
        <v>199.9</v>
      </c>
      <c r="G94" s="8">
        <f t="shared" si="4"/>
        <v>1799.1000000000001</v>
      </c>
      <c r="H94" s="273"/>
      <c r="I94" s="275"/>
      <c r="J94" s="269"/>
    </row>
    <row r="95" spans="1:10" ht="30" customHeight="1" x14ac:dyDescent="0.2">
      <c r="A95" s="31"/>
      <c r="B95" s="221" t="s">
        <v>7</v>
      </c>
      <c r="C95" s="222"/>
      <c r="D95" s="222"/>
      <c r="E95" s="222"/>
      <c r="F95" s="223"/>
      <c r="G95" s="64">
        <f>SUM(G81:G94)</f>
        <v>70676.550000000017</v>
      </c>
      <c r="H95" s="273"/>
      <c r="I95" s="276"/>
      <c r="J95" s="269"/>
    </row>
    <row r="96" spans="1:10" ht="30" customHeight="1" x14ac:dyDescent="0.2">
      <c r="A96" s="228" t="s">
        <v>148</v>
      </c>
      <c r="B96" s="229"/>
      <c r="C96" s="229"/>
      <c r="D96" s="229"/>
      <c r="E96" s="229"/>
      <c r="F96" s="229"/>
      <c r="G96" s="230"/>
      <c r="H96" s="268"/>
      <c r="I96" s="276"/>
      <c r="J96" s="269"/>
    </row>
    <row r="97" spans="1:10" ht="30" customHeight="1" x14ac:dyDescent="0.2">
      <c r="A97" s="54" t="s">
        <v>128</v>
      </c>
      <c r="B97" s="54" t="s">
        <v>148</v>
      </c>
      <c r="C97" s="54" t="s">
        <v>0</v>
      </c>
      <c r="D97" s="227" t="s">
        <v>36</v>
      </c>
      <c r="E97" s="227"/>
      <c r="F97" s="54" t="s">
        <v>1</v>
      </c>
      <c r="G97" s="54" t="s">
        <v>2</v>
      </c>
      <c r="H97" s="268"/>
      <c r="I97" s="277"/>
      <c r="J97" s="269"/>
    </row>
    <row r="98" spans="1:10" ht="57" customHeight="1" x14ac:dyDescent="0.2">
      <c r="A98" s="5">
        <v>61</v>
      </c>
      <c r="B98" s="13" t="s">
        <v>130</v>
      </c>
      <c r="C98" s="5" t="s">
        <v>11</v>
      </c>
      <c r="D98" s="207">
        <f>$A$13</f>
        <v>7116</v>
      </c>
      <c r="E98" s="208"/>
      <c r="F98" s="56">
        <v>2.2000000000000002</v>
      </c>
      <c r="G98" s="12">
        <f>D98*F98</f>
        <v>15655.2</v>
      </c>
      <c r="H98" s="268"/>
      <c r="I98" s="275"/>
      <c r="J98" s="269"/>
    </row>
    <row r="99" spans="1:10" ht="42" customHeight="1" x14ac:dyDescent="0.2">
      <c r="A99" s="5">
        <v>62</v>
      </c>
      <c r="B99" s="39" t="s">
        <v>105</v>
      </c>
      <c r="C99" s="5" t="s">
        <v>11</v>
      </c>
      <c r="D99" s="207">
        <f>$A$13</f>
        <v>7116</v>
      </c>
      <c r="E99" s="208"/>
      <c r="F99" s="56">
        <v>4.5</v>
      </c>
      <c r="G99" s="12">
        <f>D99*F99</f>
        <v>32022</v>
      </c>
      <c r="H99" s="268"/>
      <c r="I99" s="275"/>
      <c r="J99" s="269"/>
    </row>
    <row r="100" spans="1:10" ht="52" customHeight="1" x14ac:dyDescent="0.2">
      <c r="A100" s="5">
        <v>63</v>
      </c>
      <c r="B100" s="13" t="s">
        <v>106</v>
      </c>
      <c r="C100" s="5" t="s">
        <v>11</v>
      </c>
      <c r="D100" s="207">
        <f>$A$13</f>
        <v>7116</v>
      </c>
      <c r="E100" s="208"/>
      <c r="F100" s="19">
        <v>29.9</v>
      </c>
      <c r="G100" s="12">
        <f>D100*F100</f>
        <v>212768.4</v>
      </c>
      <c r="H100" s="268"/>
      <c r="I100" s="275"/>
      <c r="J100" s="269"/>
    </row>
    <row r="101" spans="1:10" ht="50" customHeight="1" x14ac:dyDescent="0.2">
      <c r="A101" s="5">
        <v>64</v>
      </c>
      <c r="B101" s="13" t="s">
        <v>107</v>
      </c>
      <c r="C101" s="57" t="s">
        <v>11</v>
      </c>
      <c r="D101" s="172">
        <f>27*5</f>
        <v>135</v>
      </c>
      <c r="E101" s="206"/>
      <c r="F101" s="11">
        <v>52.9</v>
      </c>
      <c r="G101" s="17">
        <f>D101*F101</f>
        <v>7141.5</v>
      </c>
      <c r="H101" s="268"/>
      <c r="I101" s="275"/>
      <c r="J101" s="269"/>
    </row>
    <row r="102" spans="1:10" ht="30" customHeight="1" x14ac:dyDescent="0.2">
      <c r="A102" s="57"/>
      <c r="B102" s="221" t="s">
        <v>7</v>
      </c>
      <c r="C102" s="222"/>
      <c r="D102" s="222"/>
      <c r="E102" s="222"/>
      <c r="F102" s="223"/>
      <c r="G102" s="64">
        <f>SUM(G98:G101)</f>
        <v>267587.09999999998</v>
      </c>
      <c r="H102" s="268"/>
      <c r="I102" s="276"/>
      <c r="J102" s="269"/>
    </row>
    <row r="103" spans="1:10" ht="30" customHeight="1" x14ac:dyDescent="0.2">
      <c r="A103" s="57"/>
      <c r="B103" s="186" t="s">
        <v>61</v>
      </c>
      <c r="C103" s="187"/>
      <c r="D103" s="187"/>
      <c r="E103" s="187"/>
      <c r="F103" s="188"/>
      <c r="G103" s="20">
        <f>G102+G95+G78</f>
        <v>626222.65</v>
      </c>
      <c r="H103" s="268"/>
      <c r="I103" s="276"/>
      <c r="J103" s="269"/>
    </row>
    <row r="104" spans="1:10" ht="21" customHeight="1" x14ac:dyDescent="0.2">
      <c r="A104" s="31"/>
      <c r="B104" s="40"/>
      <c r="C104" s="40"/>
      <c r="D104" s="40"/>
      <c r="E104" s="40"/>
      <c r="F104" s="40"/>
      <c r="G104" s="41"/>
      <c r="H104" s="268"/>
      <c r="I104" s="276"/>
      <c r="J104" s="269"/>
    </row>
    <row r="105" spans="1:10" ht="30" customHeight="1" x14ac:dyDescent="0.2">
      <c r="A105" s="195" t="s">
        <v>59</v>
      </c>
      <c r="B105" s="196"/>
      <c r="C105" s="196"/>
      <c r="D105" s="196"/>
      <c r="E105" s="196"/>
      <c r="F105" s="196"/>
      <c r="G105" s="197"/>
      <c r="H105" s="268"/>
      <c r="I105" s="276"/>
      <c r="J105" s="269"/>
    </row>
    <row r="106" spans="1:10" ht="30" customHeight="1" x14ac:dyDescent="0.2">
      <c r="A106" s="29" t="s">
        <v>128</v>
      </c>
      <c r="B106" s="80" t="s">
        <v>8</v>
      </c>
      <c r="C106" s="66" t="s">
        <v>0</v>
      </c>
      <c r="D106" s="231" t="s">
        <v>36</v>
      </c>
      <c r="E106" s="232"/>
      <c r="F106" s="67" t="s">
        <v>1</v>
      </c>
      <c r="G106" s="63" t="s">
        <v>2</v>
      </c>
      <c r="H106" s="268"/>
      <c r="I106" s="277"/>
      <c r="J106" s="269"/>
    </row>
    <row r="107" spans="1:10" ht="68" x14ac:dyDescent="0.2">
      <c r="A107" s="74">
        <v>65</v>
      </c>
      <c r="B107" s="81" t="s">
        <v>75</v>
      </c>
      <c r="C107" s="5" t="s">
        <v>10</v>
      </c>
      <c r="D107" s="52" t="s">
        <v>9</v>
      </c>
      <c r="E107" s="52">
        <v>1</v>
      </c>
      <c r="F107" s="18">
        <f>135000+13000</f>
        <v>148000</v>
      </c>
      <c r="G107" s="8">
        <f>E107*F107</f>
        <v>148000</v>
      </c>
      <c r="H107" s="268"/>
      <c r="I107" s="275"/>
      <c r="J107" s="269"/>
    </row>
    <row r="108" spans="1:10" ht="72" customHeight="1" x14ac:dyDescent="0.2">
      <c r="A108" s="74">
        <v>66</v>
      </c>
      <c r="B108" s="82" t="s">
        <v>76</v>
      </c>
      <c r="C108" s="25" t="s">
        <v>6</v>
      </c>
      <c r="D108" s="52" t="s">
        <v>9</v>
      </c>
      <c r="E108" s="53">
        <v>1</v>
      </c>
      <c r="F108" s="18">
        <f>6000*12</f>
        <v>72000</v>
      </c>
      <c r="G108" s="8">
        <f t="shared" ref="G108:G109" si="5">E108*F108</f>
        <v>72000</v>
      </c>
      <c r="H108" s="268"/>
      <c r="I108" s="278"/>
      <c r="J108" s="269"/>
    </row>
    <row r="109" spans="1:10" ht="58" customHeight="1" x14ac:dyDescent="0.2">
      <c r="A109" s="74">
        <v>67</v>
      </c>
      <c r="B109" s="83" t="s">
        <v>116</v>
      </c>
      <c r="C109" s="57" t="s">
        <v>10</v>
      </c>
      <c r="D109" s="52" t="s">
        <v>9</v>
      </c>
      <c r="E109" s="55">
        <v>1</v>
      </c>
      <c r="F109" s="106">
        <v>82500</v>
      </c>
      <c r="G109" s="8">
        <f t="shared" si="5"/>
        <v>82500</v>
      </c>
      <c r="H109" s="268"/>
      <c r="I109" s="278"/>
      <c r="J109" s="269"/>
    </row>
    <row r="110" spans="1:10" ht="42" customHeight="1" x14ac:dyDescent="0.2">
      <c r="A110" s="74">
        <v>68</v>
      </c>
      <c r="B110" s="73" t="s">
        <v>77</v>
      </c>
      <c r="C110" s="74" t="s">
        <v>10</v>
      </c>
      <c r="D110" s="53" t="s">
        <v>9</v>
      </c>
      <c r="E110" s="129">
        <f>A8*4</f>
        <v>56</v>
      </c>
      <c r="F110" s="130">
        <v>315.25</v>
      </c>
      <c r="G110" s="10">
        <f>F110*E110</f>
        <v>17654</v>
      </c>
      <c r="H110" s="279"/>
      <c r="I110" s="278"/>
      <c r="J110" s="269"/>
    </row>
    <row r="111" spans="1:10" ht="41" customHeight="1" x14ac:dyDescent="0.2">
      <c r="A111" s="74">
        <v>69</v>
      </c>
      <c r="B111" s="73" t="s">
        <v>78</v>
      </c>
      <c r="C111" s="74" t="s">
        <v>10</v>
      </c>
      <c r="D111" s="53" t="s">
        <v>9</v>
      </c>
      <c r="E111" s="129">
        <f>A8*4</f>
        <v>56</v>
      </c>
      <c r="F111" s="130">
        <v>315.25</v>
      </c>
      <c r="G111" s="10">
        <f>F111*E111</f>
        <v>17654</v>
      </c>
      <c r="H111" s="279"/>
      <c r="I111" s="278"/>
      <c r="J111" s="269"/>
    </row>
    <row r="112" spans="1:10" ht="51" x14ac:dyDescent="0.2">
      <c r="A112" s="74">
        <v>70</v>
      </c>
      <c r="B112" s="7" t="s">
        <v>133</v>
      </c>
      <c r="C112" s="131" t="s">
        <v>10</v>
      </c>
      <c r="D112" s="132" t="s">
        <v>9</v>
      </c>
      <c r="E112" s="24">
        <f>A13</f>
        <v>7116</v>
      </c>
      <c r="F112" s="3">
        <v>12.5</v>
      </c>
      <c r="G112" s="8">
        <f t="shared" ref="G112:G117" si="6">E112*F112</f>
        <v>88950</v>
      </c>
      <c r="H112" s="279"/>
      <c r="I112" s="275"/>
      <c r="J112" s="269"/>
    </row>
    <row r="113" spans="1:12" ht="51" x14ac:dyDescent="0.2">
      <c r="A113" s="74">
        <v>71</v>
      </c>
      <c r="B113" s="73" t="s">
        <v>131</v>
      </c>
      <c r="C113" s="131" t="s">
        <v>10</v>
      </c>
      <c r="D113" s="132" t="s">
        <v>9</v>
      </c>
      <c r="E113" s="133">
        <f>(A9)</f>
        <v>16</v>
      </c>
      <c r="F113" s="3">
        <v>12.5</v>
      </c>
      <c r="G113" s="8">
        <f t="shared" si="6"/>
        <v>200</v>
      </c>
      <c r="H113" s="279"/>
      <c r="I113" s="275"/>
      <c r="J113" s="269"/>
      <c r="L113" s="122"/>
    </row>
    <row r="114" spans="1:12" ht="51" x14ac:dyDescent="0.2">
      <c r="A114" s="74">
        <v>72</v>
      </c>
      <c r="B114" s="73" t="s">
        <v>132</v>
      </c>
      <c r="C114" s="131" t="s">
        <v>10</v>
      </c>
      <c r="D114" s="132" t="s">
        <v>9</v>
      </c>
      <c r="E114" s="133">
        <f>(A10+A11+A12)</f>
        <v>84</v>
      </c>
      <c r="F114" s="3">
        <v>12.5</v>
      </c>
      <c r="G114" s="8">
        <f t="shared" si="6"/>
        <v>1050</v>
      </c>
      <c r="H114" s="279"/>
      <c r="I114" s="275"/>
      <c r="J114" s="269"/>
    </row>
    <row r="115" spans="1:12" ht="61" customHeight="1" x14ac:dyDescent="0.2">
      <c r="A115" s="74">
        <v>73</v>
      </c>
      <c r="B115" s="73" t="s">
        <v>79</v>
      </c>
      <c r="C115" s="131" t="s">
        <v>10</v>
      </c>
      <c r="D115" s="25" t="s">
        <v>9</v>
      </c>
      <c r="E115" s="133">
        <f>(A9+A10+A11+A12)</f>
        <v>100</v>
      </c>
      <c r="F115" s="3">
        <v>12.3</v>
      </c>
      <c r="G115" s="8">
        <f t="shared" si="6"/>
        <v>1230</v>
      </c>
      <c r="H115" s="279"/>
      <c r="I115" s="275"/>
      <c r="J115" s="269"/>
    </row>
    <row r="116" spans="1:12" ht="65" customHeight="1" x14ac:dyDescent="0.2">
      <c r="A116" s="74">
        <v>74</v>
      </c>
      <c r="B116" s="73" t="s">
        <v>80</v>
      </c>
      <c r="C116" s="131" t="s">
        <v>10</v>
      </c>
      <c r="D116" s="25" t="s">
        <v>9</v>
      </c>
      <c r="E116" s="133">
        <f>(A9+A10+A11+A12)</f>
        <v>100</v>
      </c>
      <c r="F116" s="3">
        <v>8.6999999999999993</v>
      </c>
      <c r="G116" s="8">
        <f t="shared" si="6"/>
        <v>869.99999999999989</v>
      </c>
      <c r="H116" s="279"/>
      <c r="I116" s="275"/>
      <c r="J116" s="269"/>
    </row>
    <row r="117" spans="1:12" ht="47" customHeight="1" x14ac:dyDescent="0.2">
      <c r="A117" s="74">
        <v>75</v>
      </c>
      <c r="B117" s="68" t="s">
        <v>37</v>
      </c>
      <c r="C117" s="131" t="s">
        <v>10</v>
      </c>
      <c r="D117" s="25" t="s">
        <v>9</v>
      </c>
      <c r="E117" s="24">
        <f>(A13)</f>
        <v>7116</v>
      </c>
      <c r="F117" s="8">
        <v>1.2</v>
      </c>
      <c r="G117" s="8">
        <f t="shared" si="6"/>
        <v>8539.1999999999989</v>
      </c>
      <c r="H117" s="279"/>
      <c r="I117" s="275"/>
      <c r="J117" s="269"/>
    </row>
    <row r="118" spans="1:12" ht="53" customHeight="1" x14ac:dyDescent="0.2">
      <c r="A118" s="74">
        <v>76</v>
      </c>
      <c r="B118" s="68" t="s">
        <v>38</v>
      </c>
      <c r="C118" s="131" t="s">
        <v>10</v>
      </c>
      <c r="D118" s="25" t="s">
        <v>9</v>
      </c>
      <c r="E118" s="24">
        <f>(A13)</f>
        <v>7116</v>
      </c>
      <c r="F118" s="8">
        <v>4.8</v>
      </c>
      <c r="G118" s="8">
        <f>E118*F118*3</f>
        <v>102470.39999999999</v>
      </c>
      <c r="H118" s="279"/>
      <c r="I118" s="275"/>
      <c r="J118" s="269"/>
    </row>
    <row r="119" spans="1:12" ht="54" customHeight="1" x14ac:dyDescent="0.2">
      <c r="A119" s="74">
        <v>77</v>
      </c>
      <c r="B119" s="68" t="s">
        <v>39</v>
      </c>
      <c r="C119" s="131" t="s">
        <v>10</v>
      </c>
      <c r="D119" s="25" t="s">
        <v>9</v>
      </c>
      <c r="E119" s="24">
        <f>(A13*3)*2</f>
        <v>42696</v>
      </c>
      <c r="F119" s="8">
        <v>2.2000000000000002</v>
      </c>
      <c r="G119" s="8">
        <f>E119*F119*3</f>
        <v>281793.60000000003</v>
      </c>
      <c r="H119" s="279"/>
      <c r="I119" s="275"/>
      <c r="J119" s="269"/>
    </row>
    <row r="120" spans="1:12" ht="51" customHeight="1" x14ac:dyDescent="0.2">
      <c r="A120" s="74">
        <v>78</v>
      </c>
      <c r="B120" s="73" t="s">
        <v>104</v>
      </c>
      <c r="C120" s="131" t="s">
        <v>10</v>
      </c>
      <c r="D120" s="25" t="s">
        <v>9</v>
      </c>
      <c r="E120" s="134">
        <f>(A13)*3</f>
        <v>21348</v>
      </c>
      <c r="F120" s="70">
        <v>1.2</v>
      </c>
      <c r="G120" s="71">
        <f>F120*E120</f>
        <v>25617.599999999999</v>
      </c>
      <c r="H120" s="279"/>
      <c r="I120" s="275"/>
      <c r="J120" s="269"/>
    </row>
    <row r="121" spans="1:12" ht="30" customHeight="1" x14ac:dyDescent="0.2">
      <c r="A121" s="74"/>
      <c r="B121" s="214" t="s">
        <v>60</v>
      </c>
      <c r="C121" s="215"/>
      <c r="D121" s="215"/>
      <c r="E121" s="215"/>
      <c r="F121" s="216"/>
      <c r="G121" s="21">
        <f>SUM(G107:G120)</f>
        <v>848528.79999999993</v>
      </c>
      <c r="H121" s="268"/>
      <c r="I121" s="270"/>
      <c r="J121" s="269"/>
    </row>
    <row r="122" spans="1:12" ht="20" customHeight="1" x14ac:dyDescent="0.2">
      <c r="A122" s="31"/>
      <c r="B122" s="44"/>
      <c r="C122" s="45"/>
      <c r="D122" s="42"/>
      <c r="E122" s="42"/>
      <c r="F122" s="46"/>
      <c r="G122" s="47"/>
      <c r="H122" s="268"/>
      <c r="I122" s="269"/>
      <c r="J122" s="269"/>
    </row>
    <row r="123" spans="1:12" ht="30" customHeight="1" x14ac:dyDescent="0.2">
      <c r="A123" s="213" t="s">
        <v>134</v>
      </c>
      <c r="B123" s="213"/>
      <c r="C123" s="213"/>
      <c r="D123" s="213"/>
      <c r="E123" s="213"/>
      <c r="F123" s="213"/>
      <c r="G123" s="213"/>
      <c r="H123" s="268"/>
      <c r="I123" s="269"/>
      <c r="J123" s="269"/>
    </row>
    <row r="124" spans="1:12" ht="30" customHeight="1" x14ac:dyDescent="0.2">
      <c r="A124" s="84" t="s">
        <v>128</v>
      </c>
      <c r="B124" s="29" t="s">
        <v>115</v>
      </c>
      <c r="C124" s="29" t="s">
        <v>0</v>
      </c>
      <c r="D124" s="235" t="s">
        <v>36</v>
      </c>
      <c r="E124" s="236"/>
      <c r="F124" s="29" t="s">
        <v>1</v>
      </c>
      <c r="G124" s="29" t="s">
        <v>2</v>
      </c>
      <c r="H124" s="268"/>
      <c r="I124" s="269"/>
      <c r="J124" s="269"/>
    </row>
    <row r="125" spans="1:12" ht="72" customHeight="1" x14ac:dyDescent="0.2">
      <c r="A125" s="74">
        <v>79</v>
      </c>
      <c r="B125" s="2" t="s">
        <v>129</v>
      </c>
      <c r="C125" s="26" t="s">
        <v>3</v>
      </c>
      <c r="D125" s="209">
        <v>1</v>
      </c>
      <c r="E125" s="210"/>
      <c r="F125" s="103">
        <f>88550.15-16008+3000+323.95-10000</f>
        <v>65866.099999999991</v>
      </c>
      <c r="G125" s="103">
        <f>D125*F125</f>
        <v>65866.099999999991</v>
      </c>
      <c r="H125" s="268"/>
      <c r="I125" s="269"/>
      <c r="J125" s="269"/>
    </row>
    <row r="126" spans="1:12" ht="25" customHeight="1" x14ac:dyDescent="0.2">
      <c r="A126" s="74">
        <v>80</v>
      </c>
      <c r="B126" s="2" t="s">
        <v>64</v>
      </c>
      <c r="C126" s="5" t="s">
        <v>4</v>
      </c>
      <c r="D126" s="233">
        <v>1</v>
      </c>
      <c r="E126" s="234">
        <v>2</v>
      </c>
      <c r="F126" s="6">
        <v>15000</v>
      </c>
      <c r="G126" s="4">
        <v>15000</v>
      </c>
      <c r="H126" s="268"/>
      <c r="I126" s="269"/>
      <c r="J126" s="269"/>
    </row>
    <row r="127" spans="1:12" ht="25" customHeight="1" x14ac:dyDescent="0.2">
      <c r="A127" s="74">
        <v>81</v>
      </c>
      <c r="B127" s="2" t="s">
        <v>65</v>
      </c>
      <c r="C127" s="5" t="s">
        <v>4</v>
      </c>
      <c r="D127" s="233">
        <v>1</v>
      </c>
      <c r="E127" s="234">
        <v>2</v>
      </c>
      <c r="F127" s="6">
        <v>5000</v>
      </c>
      <c r="G127" s="4">
        <f t="shared" ref="G127:G130" si="7">F127*D127</f>
        <v>5000</v>
      </c>
      <c r="H127" s="268"/>
      <c r="I127" s="269"/>
      <c r="J127" s="269"/>
    </row>
    <row r="128" spans="1:12" ht="25" customHeight="1" x14ac:dyDescent="0.2">
      <c r="A128" s="74">
        <v>82</v>
      </c>
      <c r="B128" s="32" t="s">
        <v>5</v>
      </c>
      <c r="C128" s="5" t="s">
        <v>4</v>
      </c>
      <c r="D128" s="233">
        <v>1</v>
      </c>
      <c r="E128" s="234">
        <v>2</v>
      </c>
      <c r="F128" s="6">
        <v>15000</v>
      </c>
      <c r="G128" s="4">
        <v>15000</v>
      </c>
      <c r="H128" s="268"/>
      <c r="I128" s="269"/>
      <c r="J128" s="269"/>
    </row>
    <row r="129" spans="1:10" ht="38" customHeight="1" x14ac:dyDescent="0.2">
      <c r="A129" s="74">
        <v>83</v>
      </c>
      <c r="B129" s="2" t="s">
        <v>135</v>
      </c>
      <c r="C129" s="5" t="s">
        <v>11</v>
      </c>
      <c r="D129" s="239">
        <v>1000</v>
      </c>
      <c r="E129" s="240"/>
      <c r="F129" s="6">
        <v>15</v>
      </c>
      <c r="G129" s="4">
        <f t="shared" si="7"/>
        <v>15000</v>
      </c>
      <c r="H129" s="268"/>
      <c r="I129" s="269"/>
      <c r="J129" s="269"/>
    </row>
    <row r="130" spans="1:10" ht="67" customHeight="1" x14ac:dyDescent="0.2">
      <c r="A130" s="74">
        <v>84</v>
      </c>
      <c r="B130" s="2" t="s">
        <v>136</v>
      </c>
      <c r="C130" s="5" t="s">
        <v>4</v>
      </c>
      <c r="D130" s="241">
        <f>A8*2</f>
        <v>28</v>
      </c>
      <c r="E130" s="242"/>
      <c r="F130" s="6">
        <v>1800</v>
      </c>
      <c r="G130" s="4">
        <f t="shared" si="7"/>
        <v>50400</v>
      </c>
      <c r="H130" s="268"/>
      <c r="I130" s="269"/>
      <c r="J130" s="269"/>
    </row>
    <row r="131" spans="1:10" ht="30" customHeight="1" x14ac:dyDescent="0.2">
      <c r="A131" s="74"/>
      <c r="B131" s="221" t="s">
        <v>63</v>
      </c>
      <c r="C131" s="222"/>
      <c r="D131" s="222"/>
      <c r="E131" s="222"/>
      <c r="F131" s="223"/>
      <c r="G131" s="64">
        <f>SUM(G125:G130)</f>
        <v>166266.09999999998</v>
      </c>
      <c r="H131" s="268"/>
      <c r="I131" s="269"/>
      <c r="J131" s="269"/>
    </row>
    <row r="132" spans="1:10" ht="30" customHeight="1" x14ac:dyDescent="0.2">
      <c r="A132" s="74"/>
      <c r="B132" s="248" t="s">
        <v>66</v>
      </c>
      <c r="C132" s="249"/>
      <c r="D132" s="249"/>
      <c r="E132" s="249"/>
      <c r="F132" s="249"/>
      <c r="G132" s="250"/>
      <c r="H132" s="268"/>
      <c r="I132" s="269"/>
      <c r="J132" s="269"/>
    </row>
    <row r="133" spans="1:10" ht="30" customHeight="1" x14ac:dyDescent="0.2">
      <c r="A133" s="84" t="s">
        <v>128</v>
      </c>
      <c r="B133" s="29" t="s">
        <v>66</v>
      </c>
      <c r="C133" s="29" t="s">
        <v>0</v>
      </c>
      <c r="D133" s="235" t="s">
        <v>36</v>
      </c>
      <c r="E133" s="236"/>
      <c r="F133" s="29" t="s">
        <v>1</v>
      </c>
      <c r="G133" s="29" t="s">
        <v>2</v>
      </c>
      <c r="H133" s="268"/>
      <c r="I133" s="269"/>
      <c r="J133" s="269"/>
    </row>
    <row r="134" spans="1:10" ht="41" customHeight="1" x14ac:dyDescent="0.2">
      <c r="A134" s="74">
        <v>85</v>
      </c>
      <c r="B134" s="2" t="s">
        <v>46</v>
      </c>
      <c r="C134" s="57" t="s">
        <v>10</v>
      </c>
      <c r="D134" s="172">
        <f>A8*3</f>
        <v>42</v>
      </c>
      <c r="E134" s="206"/>
      <c r="F134" s="9">
        <v>4429.3900000000003</v>
      </c>
      <c r="G134" s="9">
        <f>D134*F134</f>
        <v>186034.38</v>
      </c>
      <c r="H134" s="273"/>
      <c r="I134" s="280"/>
      <c r="J134" s="269"/>
    </row>
    <row r="135" spans="1:10" ht="30" customHeight="1" x14ac:dyDescent="0.2">
      <c r="A135" s="74"/>
      <c r="B135" s="243" t="s">
        <v>82</v>
      </c>
      <c r="C135" s="244"/>
      <c r="D135" s="244"/>
      <c r="E135" s="244"/>
      <c r="F135" s="245"/>
      <c r="G135" s="38">
        <f>SUM(G134:G134)</f>
        <v>186034.38</v>
      </c>
      <c r="H135" s="268"/>
      <c r="I135" s="281"/>
      <c r="J135" s="269"/>
    </row>
    <row r="136" spans="1:10" ht="30" customHeight="1" x14ac:dyDescent="0.2">
      <c r="A136" s="74"/>
      <c r="B136" s="214" t="s">
        <v>142</v>
      </c>
      <c r="C136" s="215"/>
      <c r="D136" s="215"/>
      <c r="E136" s="215"/>
      <c r="F136" s="216"/>
      <c r="G136" s="21">
        <f>G135+G131</f>
        <v>352300.48</v>
      </c>
      <c r="H136" s="268"/>
      <c r="I136" s="281"/>
      <c r="J136" s="269"/>
    </row>
    <row r="137" spans="1:10" ht="20" customHeight="1" x14ac:dyDescent="0.2">
      <c r="A137" s="31"/>
      <c r="B137" s="37"/>
      <c r="C137" s="31"/>
      <c r="D137" s="43"/>
      <c r="E137" s="43"/>
      <c r="F137" s="48"/>
      <c r="G137" s="36"/>
      <c r="H137" s="268"/>
      <c r="I137" s="269"/>
      <c r="J137" s="269"/>
    </row>
    <row r="138" spans="1:10" ht="30" customHeight="1" x14ac:dyDescent="0.2">
      <c r="A138" s="195" t="s">
        <v>84</v>
      </c>
      <c r="B138" s="196"/>
      <c r="C138" s="196"/>
      <c r="D138" s="196"/>
      <c r="E138" s="196"/>
      <c r="F138" s="196"/>
      <c r="G138" s="197"/>
      <c r="H138" s="268"/>
      <c r="I138" s="269"/>
      <c r="J138" s="269"/>
    </row>
    <row r="139" spans="1:10" ht="30" customHeight="1" x14ac:dyDescent="0.2">
      <c r="A139" s="84" t="s">
        <v>128</v>
      </c>
      <c r="B139" s="65" t="s">
        <v>35</v>
      </c>
      <c r="C139" s="62" t="s">
        <v>0</v>
      </c>
      <c r="D139" s="246" t="s">
        <v>36</v>
      </c>
      <c r="E139" s="246"/>
      <c r="F139" s="62" t="s">
        <v>1</v>
      </c>
      <c r="G139" s="62" t="s">
        <v>2</v>
      </c>
      <c r="H139" s="268"/>
      <c r="I139" s="269"/>
      <c r="J139" s="269"/>
    </row>
    <row r="140" spans="1:10" ht="25" customHeight="1" x14ac:dyDescent="0.2">
      <c r="A140" s="74">
        <v>86</v>
      </c>
      <c r="B140" s="72" t="s">
        <v>28</v>
      </c>
      <c r="C140" s="25" t="s">
        <v>12</v>
      </c>
      <c r="D140" s="237">
        <v>24</v>
      </c>
      <c r="E140" s="237"/>
      <c r="F140" s="3">
        <v>3200</v>
      </c>
      <c r="G140" s="76">
        <f>D140*F140*2</f>
        <v>153600</v>
      </c>
      <c r="H140" s="268"/>
      <c r="I140" s="269"/>
      <c r="J140" s="269"/>
    </row>
    <row r="141" spans="1:10" ht="40" customHeight="1" x14ac:dyDescent="0.2">
      <c r="A141" s="31">
        <v>87</v>
      </c>
      <c r="B141" s="7" t="s">
        <v>137</v>
      </c>
      <c r="C141" s="25" t="s">
        <v>4</v>
      </c>
      <c r="D141" s="247">
        <v>48</v>
      </c>
      <c r="E141" s="247"/>
      <c r="F141" s="70">
        <v>350</v>
      </c>
      <c r="G141" s="76">
        <f>F141*D141</f>
        <v>16800</v>
      </c>
      <c r="H141" s="268"/>
      <c r="I141" s="269"/>
      <c r="J141" s="269"/>
    </row>
    <row r="142" spans="1:10" ht="43" customHeight="1" x14ac:dyDescent="0.2">
      <c r="A142" s="74">
        <v>88</v>
      </c>
      <c r="B142" s="7" t="s">
        <v>138</v>
      </c>
      <c r="C142" s="25" t="s">
        <v>127</v>
      </c>
      <c r="D142" s="247">
        <v>2</v>
      </c>
      <c r="E142" s="247"/>
      <c r="F142" s="3">
        <v>3200</v>
      </c>
      <c r="G142" s="76">
        <f>(F142*D142)*12</f>
        <v>76800</v>
      </c>
      <c r="H142" s="268"/>
      <c r="I142" s="269"/>
      <c r="J142" s="269"/>
    </row>
    <row r="143" spans="1:10" ht="64" customHeight="1" x14ac:dyDescent="0.2">
      <c r="A143" s="74">
        <v>89</v>
      </c>
      <c r="B143" s="167" t="s">
        <v>256</v>
      </c>
      <c r="C143" s="25" t="s">
        <v>27</v>
      </c>
      <c r="D143" s="237">
        <v>4000</v>
      </c>
      <c r="E143" s="237"/>
      <c r="F143" s="3">
        <v>6.8</v>
      </c>
      <c r="G143" s="76">
        <f>F143*D143</f>
        <v>27200</v>
      </c>
      <c r="H143" s="268"/>
      <c r="I143" s="269"/>
      <c r="J143" s="269"/>
    </row>
    <row r="144" spans="1:10" ht="67" customHeight="1" x14ac:dyDescent="0.2">
      <c r="A144" s="31">
        <v>90</v>
      </c>
      <c r="B144" s="7" t="s">
        <v>139</v>
      </c>
      <c r="C144" s="25" t="s">
        <v>4</v>
      </c>
      <c r="D144" s="237">
        <f>A8*3</f>
        <v>42</v>
      </c>
      <c r="E144" s="237"/>
      <c r="F144" s="3">
        <v>1800</v>
      </c>
      <c r="G144" s="76">
        <f>D144*F144</f>
        <v>75600</v>
      </c>
      <c r="H144" s="268"/>
      <c r="I144" s="269"/>
      <c r="J144" s="269"/>
    </row>
    <row r="145" spans="1:10" ht="55" customHeight="1" x14ac:dyDescent="0.45">
      <c r="A145" s="74">
        <v>91</v>
      </c>
      <c r="B145" s="7" t="s">
        <v>140</v>
      </c>
      <c r="C145" s="25" t="s">
        <v>4</v>
      </c>
      <c r="D145" s="237">
        <f>A8*2</f>
        <v>28</v>
      </c>
      <c r="E145" s="237"/>
      <c r="F145" s="3">
        <v>1200</v>
      </c>
      <c r="G145" s="76">
        <f>D145*F145*2</f>
        <v>67200</v>
      </c>
      <c r="H145" s="268"/>
      <c r="I145" s="282"/>
      <c r="J145" s="269"/>
    </row>
    <row r="146" spans="1:10" ht="60" customHeight="1" x14ac:dyDescent="0.2">
      <c r="A146" s="74">
        <v>92</v>
      </c>
      <c r="B146" s="7" t="s">
        <v>141</v>
      </c>
      <c r="C146" s="25" t="s">
        <v>4</v>
      </c>
      <c r="D146" s="237">
        <f>D145</f>
        <v>28</v>
      </c>
      <c r="E146" s="237"/>
      <c r="F146" s="3">
        <v>1300</v>
      </c>
      <c r="G146" s="76">
        <f>D146*F146*2</f>
        <v>72800</v>
      </c>
      <c r="H146" s="268"/>
      <c r="I146" s="269"/>
      <c r="J146" s="269"/>
    </row>
    <row r="147" spans="1:10" ht="30" customHeight="1" x14ac:dyDescent="0.2">
      <c r="A147" s="74"/>
      <c r="B147" s="238" t="s">
        <v>7</v>
      </c>
      <c r="C147" s="238"/>
      <c r="D147" s="238"/>
      <c r="E147" s="238"/>
      <c r="F147" s="238"/>
      <c r="G147" s="21">
        <f>SUM(G140:G146)</f>
        <v>490000</v>
      </c>
      <c r="H147" s="268"/>
      <c r="I147" s="269"/>
      <c r="J147" s="269"/>
    </row>
    <row r="148" spans="1:10" ht="20" customHeight="1" x14ac:dyDescent="0.2">
      <c r="A148" s="31"/>
      <c r="B148" s="40"/>
      <c r="C148" s="40"/>
      <c r="D148" s="40"/>
      <c r="E148" s="40"/>
      <c r="F148" s="40"/>
      <c r="G148" s="311"/>
      <c r="H148" s="268"/>
    </row>
    <row r="149" spans="1:10" ht="30" customHeight="1" x14ac:dyDescent="0.2">
      <c r="A149" s="195" t="s">
        <v>152</v>
      </c>
      <c r="B149" s="196"/>
      <c r="C149" s="196"/>
      <c r="D149" s="196"/>
      <c r="E149" s="196"/>
      <c r="F149" s="196"/>
      <c r="G149" s="309"/>
      <c r="H149" s="310"/>
    </row>
    <row r="150" spans="1:10" ht="30" customHeight="1" x14ac:dyDescent="0.2">
      <c r="A150" s="88" t="s">
        <v>264</v>
      </c>
      <c r="B150" s="85" t="s">
        <v>153</v>
      </c>
      <c r="C150" s="86" t="s">
        <v>29</v>
      </c>
      <c r="D150" s="104" t="s">
        <v>127</v>
      </c>
      <c r="E150" s="228" t="s">
        <v>263</v>
      </c>
      <c r="F150" s="230"/>
      <c r="G150" s="307"/>
      <c r="H150" s="271"/>
    </row>
    <row r="151" spans="1:10" ht="22" customHeight="1" x14ac:dyDescent="0.2">
      <c r="A151" s="264">
        <v>1</v>
      </c>
      <c r="B151" s="298" t="s">
        <v>262</v>
      </c>
      <c r="C151" s="292">
        <v>1</v>
      </c>
      <c r="D151" s="295">
        <v>112906.25</v>
      </c>
      <c r="E151" s="301">
        <v>1354874.94</v>
      </c>
      <c r="F151" s="302"/>
      <c r="G151" s="313"/>
      <c r="H151" s="312"/>
      <c r="I151" s="105"/>
    </row>
    <row r="152" spans="1:10" ht="22" customHeight="1" x14ac:dyDescent="0.2">
      <c r="A152" s="265"/>
      <c r="B152" s="299"/>
      <c r="C152" s="293"/>
      <c r="D152" s="296"/>
      <c r="E152" s="303"/>
      <c r="F152" s="304"/>
      <c r="G152" s="313"/>
      <c r="H152" s="312"/>
      <c r="I152" s="105"/>
    </row>
    <row r="153" spans="1:10" ht="17" customHeight="1" x14ac:dyDescent="0.2">
      <c r="A153" s="265"/>
      <c r="B153" s="299"/>
      <c r="C153" s="293"/>
      <c r="D153" s="296"/>
      <c r="E153" s="303"/>
      <c r="F153" s="304"/>
      <c r="G153" s="313"/>
      <c r="H153" s="312"/>
      <c r="I153" s="105"/>
    </row>
    <row r="154" spans="1:10" ht="22" hidden="1" customHeight="1" x14ac:dyDescent="0.2">
      <c r="A154" s="265"/>
      <c r="B154" s="299"/>
      <c r="C154" s="293"/>
      <c r="D154" s="296"/>
      <c r="E154" s="303"/>
      <c r="F154" s="304"/>
      <c r="G154" s="313"/>
      <c r="H154" s="312"/>
      <c r="I154" s="105"/>
    </row>
    <row r="155" spans="1:10" ht="1" hidden="1" customHeight="1" x14ac:dyDescent="0.2">
      <c r="A155" s="266"/>
      <c r="B155" s="300"/>
      <c r="C155" s="294"/>
      <c r="D155" s="297"/>
      <c r="E155" s="305"/>
      <c r="F155" s="306"/>
      <c r="G155" s="313"/>
      <c r="H155" s="312"/>
      <c r="I155" s="105"/>
    </row>
    <row r="156" spans="1:10" ht="34" customHeight="1" x14ac:dyDescent="0.2">
      <c r="A156" s="168" t="s">
        <v>154</v>
      </c>
      <c r="B156" s="169"/>
      <c r="C156" s="169"/>
      <c r="D156" s="169"/>
      <c r="E156" s="315">
        <f>E151</f>
        <v>1354874.94</v>
      </c>
      <c r="F156" s="170"/>
      <c r="G156" s="309"/>
      <c r="H156" s="308"/>
    </row>
    <row r="157" spans="1:10" ht="25" customHeight="1" x14ac:dyDescent="0.2">
      <c r="A157" s="263"/>
      <c r="B157" s="263"/>
      <c r="C157" s="263"/>
      <c r="D157" s="263"/>
      <c r="E157" s="263"/>
      <c r="F157" s="263"/>
      <c r="G157" s="314"/>
      <c r="H157" s="314"/>
    </row>
    <row r="158" spans="1:10" ht="34" customHeight="1" x14ac:dyDescent="0.2">
      <c r="A158" s="252" t="s">
        <v>237</v>
      </c>
      <c r="B158" s="252"/>
      <c r="C158" s="252"/>
      <c r="D158" s="252"/>
      <c r="E158" s="252"/>
      <c r="F158" s="252"/>
      <c r="G158" s="139"/>
      <c r="H158" s="140"/>
    </row>
    <row r="159" spans="1:10" ht="34" customHeight="1" x14ac:dyDescent="0.2">
      <c r="A159" s="183" t="s">
        <v>238</v>
      </c>
      <c r="B159" s="183"/>
      <c r="C159" s="58" t="s">
        <v>11</v>
      </c>
      <c r="D159" s="58" t="s">
        <v>36</v>
      </c>
      <c r="E159" s="58" t="s">
        <v>1</v>
      </c>
      <c r="F159" s="58" t="s">
        <v>2</v>
      </c>
      <c r="G159" s="139"/>
      <c r="H159" s="140"/>
    </row>
    <row r="160" spans="1:10" ht="25" customHeight="1" x14ac:dyDescent="0.2">
      <c r="A160" s="253" t="s">
        <v>239</v>
      </c>
      <c r="B160" s="254"/>
      <c r="C160" s="58"/>
      <c r="D160" s="58"/>
      <c r="E160" s="58"/>
      <c r="F160" s="58"/>
      <c r="G160" s="139"/>
      <c r="H160" s="140"/>
    </row>
    <row r="161" spans="1:8" ht="25" customHeight="1" x14ac:dyDescent="0.2">
      <c r="A161" s="251" t="s">
        <v>240</v>
      </c>
      <c r="B161" s="251"/>
      <c r="C161" s="5" t="s">
        <v>9</v>
      </c>
      <c r="D161" s="135">
        <f>D30</f>
        <v>1779</v>
      </c>
      <c r="E161" s="166">
        <v>99</v>
      </c>
      <c r="F161" s="136">
        <f t="shared" ref="F161:F167" si="8">D161*E161</f>
        <v>176121</v>
      </c>
      <c r="G161" s="139"/>
      <c r="H161" s="140"/>
    </row>
    <row r="162" spans="1:8" ht="25" customHeight="1" x14ac:dyDescent="0.2">
      <c r="A162" s="251" t="s">
        <v>241</v>
      </c>
      <c r="B162" s="251"/>
      <c r="C162" s="5" t="s">
        <v>9</v>
      </c>
      <c r="D162" s="135">
        <f>D161</f>
        <v>1779</v>
      </c>
      <c r="E162" s="166">
        <v>99</v>
      </c>
      <c r="F162" s="136">
        <f t="shared" si="8"/>
        <v>176121</v>
      </c>
      <c r="G162" s="139"/>
      <c r="H162" s="140"/>
    </row>
    <row r="163" spans="1:8" ht="25" customHeight="1" x14ac:dyDescent="0.2">
      <c r="A163" s="251" t="s">
        <v>242</v>
      </c>
      <c r="B163" s="251"/>
      <c r="C163" s="5" t="s">
        <v>9</v>
      </c>
      <c r="D163" s="135">
        <f t="shared" ref="D163:D167" si="9">D162</f>
        <v>1779</v>
      </c>
      <c r="E163" s="166">
        <v>99</v>
      </c>
      <c r="F163" s="136">
        <f t="shared" si="8"/>
        <v>176121</v>
      </c>
      <c r="G163" s="139"/>
      <c r="H163" s="140"/>
    </row>
    <row r="164" spans="1:8" ht="25" customHeight="1" x14ac:dyDescent="0.2">
      <c r="A164" s="251" t="s">
        <v>243</v>
      </c>
      <c r="B164" s="251"/>
      <c r="C164" s="5" t="s">
        <v>9</v>
      </c>
      <c r="D164" s="135">
        <f t="shared" si="9"/>
        <v>1779</v>
      </c>
      <c r="E164" s="166">
        <v>99</v>
      </c>
      <c r="F164" s="136">
        <f t="shared" si="8"/>
        <v>176121</v>
      </c>
      <c r="G164" s="139"/>
      <c r="H164" s="140"/>
    </row>
    <row r="165" spans="1:8" ht="25" customHeight="1" x14ac:dyDescent="0.2">
      <c r="A165" s="251" t="s">
        <v>244</v>
      </c>
      <c r="B165" s="251"/>
      <c r="C165" s="5" t="s">
        <v>9</v>
      </c>
      <c r="D165" s="135">
        <f t="shared" si="9"/>
        <v>1779</v>
      </c>
      <c r="E165" s="166">
        <v>99</v>
      </c>
      <c r="F165" s="136">
        <f t="shared" si="8"/>
        <v>176121</v>
      </c>
      <c r="G165" s="139"/>
      <c r="H165" s="140"/>
    </row>
    <row r="166" spans="1:8" ht="25" customHeight="1" x14ac:dyDescent="0.2">
      <c r="A166" s="251" t="s">
        <v>245</v>
      </c>
      <c r="B166" s="251"/>
      <c r="C166" s="5" t="s">
        <v>9</v>
      </c>
      <c r="D166" s="135">
        <f t="shared" si="9"/>
        <v>1779</v>
      </c>
      <c r="E166" s="166">
        <v>99</v>
      </c>
      <c r="F166" s="136">
        <f t="shared" si="8"/>
        <v>176121</v>
      </c>
      <c r="G166" s="139"/>
      <c r="H166" s="140"/>
    </row>
    <row r="167" spans="1:8" ht="25" customHeight="1" x14ac:dyDescent="0.2">
      <c r="A167" s="251" t="s">
        <v>246</v>
      </c>
      <c r="B167" s="251"/>
      <c r="C167" s="5" t="s">
        <v>9</v>
      </c>
      <c r="D167" s="135">
        <f t="shared" si="9"/>
        <v>1779</v>
      </c>
      <c r="E167" s="166">
        <v>99</v>
      </c>
      <c r="F167" s="136">
        <f t="shared" si="8"/>
        <v>176121</v>
      </c>
      <c r="G167" s="139"/>
      <c r="H167" s="140"/>
    </row>
    <row r="168" spans="1:8" ht="25" customHeight="1" x14ac:dyDescent="0.2">
      <c r="A168" s="243" t="s">
        <v>247</v>
      </c>
      <c r="B168" s="244"/>
      <c r="C168" s="244"/>
      <c r="D168" s="244"/>
      <c r="E168" s="245"/>
      <c r="F168" s="137">
        <f>SUM(F160:F167)</f>
        <v>1232847</v>
      </c>
      <c r="G168" s="139"/>
      <c r="H168" s="140"/>
    </row>
    <row r="169" spans="1:8" ht="18" customHeight="1" x14ac:dyDescent="0.2">
      <c r="A169" s="291"/>
      <c r="B169" s="291"/>
      <c r="C169" s="291"/>
      <c r="D169" s="291"/>
      <c r="E169" s="291"/>
      <c r="F169" s="291"/>
      <c r="G169" s="314"/>
      <c r="H169" s="140"/>
    </row>
    <row r="170" spans="1:8" ht="30" customHeight="1" x14ac:dyDescent="0.2">
      <c r="A170" s="89"/>
      <c r="B170" s="168" t="s">
        <v>144</v>
      </c>
      <c r="C170" s="169"/>
      <c r="D170" s="170"/>
      <c r="E170" s="319">
        <f>F168+E156+G147+G136+G121+G103+G44+G38+G22</f>
        <v>9121573.4400000013</v>
      </c>
      <c r="F170" s="170"/>
      <c r="G170" s="318"/>
      <c r="H170" s="316"/>
    </row>
    <row r="171" spans="1:8" ht="20" customHeight="1" x14ac:dyDescent="0.2">
      <c r="A171" s="100"/>
      <c r="B171" s="101"/>
      <c r="C171" s="101"/>
      <c r="D171" s="101"/>
      <c r="E171" s="101"/>
      <c r="F171" s="101"/>
      <c r="G171" s="317"/>
      <c r="H171" s="99"/>
    </row>
  </sheetData>
  <mergeCells count="135">
    <mergeCell ref="E170:F170"/>
    <mergeCell ref="B170:D170"/>
    <mergeCell ref="A157:H157"/>
    <mergeCell ref="A169:G169"/>
    <mergeCell ref="B151:B155"/>
    <mergeCell ref="C151:C155"/>
    <mergeCell ref="D151:D155"/>
    <mergeCell ref="A151:A155"/>
    <mergeCell ref="E151:F155"/>
    <mergeCell ref="A156:D156"/>
    <mergeCell ref="E156:F156"/>
    <mergeCell ref="A167:B167"/>
    <mergeCell ref="A168:E168"/>
    <mergeCell ref="A158:F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B147:F147"/>
    <mergeCell ref="D129:E129"/>
    <mergeCell ref="D130:E130"/>
    <mergeCell ref="B131:F131"/>
    <mergeCell ref="D126:E126"/>
    <mergeCell ref="D127:E127"/>
    <mergeCell ref="B135:F135"/>
    <mergeCell ref="B136:F136"/>
    <mergeCell ref="A138:G138"/>
    <mergeCell ref="D139:E139"/>
    <mergeCell ref="D140:E140"/>
    <mergeCell ref="D141:E141"/>
    <mergeCell ref="D142:E142"/>
    <mergeCell ref="D143:E143"/>
    <mergeCell ref="D144:E144"/>
    <mergeCell ref="B132:G132"/>
    <mergeCell ref="D133:E133"/>
    <mergeCell ref="D134:E134"/>
    <mergeCell ref="E150:F150"/>
    <mergeCell ref="A149:F149"/>
    <mergeCell ref="A105:G105"/>
    <mergeCell ref="D106:E106"/>
    <mergeCell ref="D128:E128"/>
    <mergeCell ref="B121:F121"/>
    <mergeCell ref="A123:G123"/>
    <mergeCell ref="D124:E124"/>
    <mergeCell ref="D125:E125"/>
    <mergeCell ref="D145:E145"/>
    <mergeCell ref="D146:E146"/>
    <mergeCell ref="D87:E87"/>
    <mergeCell ref="D88:E88"/>
    <mergeCell ref="B95:F95"/>
    <mergeCell ref="A96:G96"/>
    <mergeCell ref="D97:E97"/>
    <mergeCell ref="D100:E100"/>
    <mergeCell ref="D101:E101"/>
    <mergeCell ref="B102:F102"/>
    <mergeCell ref="B103:F103"/>
    <mergeCell ref="D59:E59"/>
    <mergeCell ref="D60:E60"/>
    <mergeCell ref="D61:E61"/>
    <mergeCell ref="D62:E62"/>
    <mergeCell ref="D63:E63"/>
    <mergeCell ref="D64:E64"/>
    <mergeCell ref="D98:E98"/>
    <mergeCell ref="D99:E99"/>
    <mergeCell ref="D89:E89"/>
    <mergeCell ref="D90:E90"/>
    <mergeCell ref="D91:E91"/>
    <mergeCell ref="D92:E92"/>
    <mergeCell ref="D93:E93"/>
    <mergeCell ref="D94:E94"/>
    <mergeCell ref="D76:E76"/>
    <mergeCell ref="D77:E77"/>
    <mergeCell ref="B78:F78"/>
    <mergeCell ref="B79:G79"/>
    <mergeCell ref="D80:E80"/>
    <mergeCell ref="D82:E82"/>
    <mergeCell ref="D83:E83"/>
    <mergeCell ref="D84:E84"/>
    <mergeCell ref="D85:E85"/>
    <mergeCell ref="D86:E86"/>
    <mergeCell ref="D72:E72"/>
    <mergeCell ref="D73:E73"/>
    <mergeCell ref="D74:E74"/>
    <mergeCell ref="D75:E75"/>
    <mergeCell ref="D81:E81"/>
    <mergeCell ref="D65:E65"/>
    <mergeCell ref="D66:E66"/>
    <mergeCell ref="D67:E67"/>
    <mergeCell ref="D68:E68"/>
    <mergeCell ref="D69:E69"/>
    <mergeCell ref="D70:E70"/>
    <mergeCell ref="A2:G3"/>
    <mergeCell ref="A17:G17"/>
    <mergeCell ref="D18:E18"/>
    <mergeCell ref="D19:E19"/>
    <mergeCell ref="D20:E20"/>
    <mergeCell ref="D42:E42"/>
    <mergeCell ref="D28:E28"/>
    <mergeCell ref="D29:E29"/>
    <mergeCell ref="D31:E31"/>
    <mergeCell ref="D32:E32"/>
    <mergeCell ref="D33:E33"/>
    <mergeCell ref="D21:E21"/>
    <mergeCell ref="B22:F22"/>
    <mergeCell ref="A24:G24"/>
    <mergeCell ref="D25:E25"/>
    <mergeCell ref="D26:E26"/>
    <mergeCell ref="D27:E27"/>
    <mergeCell ref="D30:E30"/>
    <mergeCell ref="B38:F38"/>
    <mergeCell ref="A40:G40"/>
    <mergeCell ref="D41:E41"/>
    <mergeCell ref="D34:E34"/>
    <mergeCell ref="D36:E36"/>
    <mergeCell ref="D37:E37"/>
    <mergeCell ref="D35:E35"/>
    <mergeCell ref="D53:E53"/>
    <mergeCell ref="D54:E54"/>
    <mergeCell ref="D55:E55"/>
    <mergeCell ref="D56:E56"/>
    <mergeCell ref="D57:E57"/>
    <mergeCell ref="D58:E58"/>
    <mergeCell ref="A46:G47"/>
    <mergeCell ref="A48:G48"/>
    <mergeCell ref="D49:E49"/>
    <mergeCell ref="D50:E50"/>
    <mergeCell ref="D51:E51"/>
    <mergeCell ref="D52:E52"/>
    <mergeCell ref="D43:E43"/>
    <mergeCell ref="B44:F44"/>
    <mergeCell ref="D71:E71"/>
  </mergeCells>
  <pageMargins left="0.511811024" right="0.511811024" top="0.78740157499999996" bottom="0.78740157499999996" header="0.31496062000000002" footer="0.31496062000000002"/>
  <pageSetup paperSize="9" scale="45" fitToHeight="15" orientation="landscape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A7EB-EE84-B24F-B02F-4312B1BC7300}">
  <sheetPr>
    <pageSetUpPr fitToPage="1"/>
  </sheetPr>
  <dimension ref="A1:P56"/>
  <sheetViews>
    <sheetView topLeftCell="A13" zoomScale="65" zoomScaleNormal="65" workbookViewId="0">
      <selection activeCell="P35" sqref="P35"/>
    </sheetView>
  </sheetViews>
  <sheetFormatPr baseColWidth="10" defaultRowHeight="15" x14ac:dyDescent="0.2"/>
  <cols>
    <col min="1" max="1" width="44.5" customWidth="1"/>
    <col min="2" max="14" width="18.83203125" customWidth="1"/>
  </cols>
  <sheetData>
    <row r="1" spans="1:15" x14ac:dyDescent="0.2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5" ht="20" customHeight="1" x14ac:dyDescent="0.2">
      <c r="A2" s="255" t="s">
        <v>198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118"/>
    </row>
    <row r="3" spans="1:15" ht="16" x14ac:dyDescent="0.2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118"/>
      <c r="O3" s="118"/>
    </row>
    <row r="4" spans="1:15" ht="28" customHeight="1" x14ac:dyDescent="0.2">
      <c r="A4" s="119" t="s">
        <v>199</v>
      </c>
      <c r="B4" s="117" t="s">
        <v>186</v>
      </c>
      <c r="C4" s="117" t="s">
        <v>187</v>
      </c>
      <c r="D4" s="117" t="s">
        <v>188</v>
      </c>
      <c r="E4" s="117" t="s">
        <v>189</v>
      </c>
      <c r="F4" s="117" t="s">
        <v>190</v>
      </c>
      <c r="G4" s="117" t="s">
        <v>191</v>
      </c>
      <c r="H4" s="117" t="s">
        <v>192</v>
      </c>
      <c r="I4" s="117" t="s">
        <v>193</v>
      </c>
      <c r="J4" s="117" t="s">
        <v>194</v>
      </c>
      <c r="K4" s="117" t="s">
        <v>195</v>
      </c>
      <c r="L4" s="117" t="s">
        <v>196</v>
      </c>
      <c r="M4" s="117" t="s">
        <v>197</v>
      </c>
      <c r="N4" s="119" t="s">
        <v>200</v>
      </c>
      <c r="O4" s="118"/>
    </row>
    <row r="5" spans="1:15" ht="16" x14ac:dyDescent="0.2">
      <c r="A5" s="108"/>
      <c r="B5" s="109"/>
      <c r="C5" s="109"/>
      <c r="D5" s="109"/>
      <c r="E5" s="110"/>
      <c r="F5" s="110"/>
      <c r="G5" s="110"/>
      <c r="H5" s="111"/>
      <c r="I5" s="111"/>
      <c r="J5" s="111"/>
      <c r="K5" s="111"/>
      <c r="L5" s="111"/>
      <c r="M5" s="111"/>
      <c r="N5" s="111"/>
      <c r="O5" s="118"/>
    </row>
    <row r="6" spans="1:15" ht="20" customHeight="1" x14ac:dyDescent="0.2">
      <c r="A6" s="120" t="s">
        <v>53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8"/>
    </row>
    <row r="7" spans="1:15" ht="20" customHeight="1" x14ac:dyDescent="0.2">
      <c r="A7" s="112" t="s">
        <v>235</v>
      </c>
      <c r="B7" s="113"/>
      <c r="C7" s="113">
        <f>'Planilha Custos'!G19/2</f>
        <v>106155.015</v>
      </c>
      <c r="D7" s="113">
        <f>C7</f>
        <v>106155.015</v>
      </c>
      <c r="E7" s="113"/>
      <c r="F7" s="113"/>
      <c r="G7" s="113"/>
      <c r="H7" s="113"/>
      <c r="I7" s="113"/>
      <c r="J7" s="113"/>
      <c r="K7" s="113"/>
      <c r="L7" s="113"/>
      <c r="M7" s="113"/>
      <c r="N7" s="113">
        <f t="shared" ref="N7:N21" si="0">SUM(B7:M7)</f>
        <v>212310.03</v>
      </c>
      <c r="O7" s="118"/>
    </row>
    <row r="8" spans="1:15" ht="20" customHeight="1" x14ac:dyDescent="0.2">
      <c r="A8" s="112" t="s">
        <v>201</v>
      </c>
      <c r="B8" s="113"/>
      <c r="C8" s="113"/>
      <c r="D8" s="113">
        <f>'Planilha Custos'!G20/2</f>
        <v>469656</v>
      </c>
      <c r="E8" s="124">
        <f>D8</f>
        <v>469656</v>
      </c>
      <c r="F8" s="113"/>
      <c r="G8" s="113"/>
      <c r="H8" s="113"/>
      <c r="I8" s="113"/>
      <c r="J8" s="113"/>
      <c r="K8" s="113"/>
      <c r="L8" s="113"/>
      <c r="M8" s="113"/>
      <c r="N8" s="113">
        <f t="shared" si="0"/>
        <v>939312</v>
      </c>
      <c r="O8" s="118"/>
    </row>
    <row r="9" spans="1:15" ht="20" customHeight="1" x14ac:dyDescent="0.2">
      <c r="A9" s="112" t="s">
        <v>86</v>
      </c>
      <c r="B9" s="113">
        <f>'Planilha Custos'!G21/12</f>
        <v>27337.361666666664</v>
      </c>
      <c r="C9" s="113">
        <f>B9</f>
        <v>27337.361666666664</v>
      </c>
      <c r="D9" s="113">
        <f t="shared" ref="D9:M9" si="1">C9</f>
        <v>27337.361666666664</v>
      </c>
      <c r="E9" s="113">
        <f t="shared" si="1"/>
        <v>27337.361666666664</v>
      </c>
      <c r="F9" s="113">
        <f t="shared" si="1"/>
        <v>27337.361666666664</v>
      </c>
      <c r="G9" s="113">
        <f t="shared" si="1"/>
        <v>27337.361666666664</v>
      </c>
      <c r="H9" s="113">
        <f t="shared" si="1"/>
        <v>27337.361666666664</v>
      </c>
      <c r="I9" s="113">
        <f t="shared" si="1"/>
        <v>27337.361666666664</v>
      </c>
      <c r="J9" s="113">
        <f t="shared" si="1"/>
        <v>27337.361666666664</v>
      </c>
      <c r="K9" s="113">
        <f t="shared" si="1"/>
        <v>27337.361666666664</v>
      </c>
      <c r="L9" s="113">
        <f t="shared" si="1"/>
        <v>27337.361666666664</v>
      </c>
      <c r="M9" s="113">
        <f t="shared" si="1"/>
        <v>27337.361666666664</v>
      </c>
      <c r="N9" s="113">
        <f>SUM(B9:M9)</f>
        <v>328048.33999999997</v>
      </c>
      <c r="O9" s="118"/>
    </row>
    <row r="10" spans="1:15" ht="20" customHeight="1" x14ac:dyDescent="0.2">
      <c r="A10" s="112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>
        <f t="shared" si="0"/>
        <v>0</v>
      </c>
      <c r="O10" s="118"/>
    </row>
    <row r="11" spans="1:15" ht="20" customHeight="1" x14ac:dyDescent="0.2">
      <c r="A11" s="120" t="s">
        <v>151</v>
      </c>
      <c r="B11" s="113"/>
      <c r="C11" s="113"/>
      <c r="D11" s="113"/>
      <c r="E11" s="109"/>
      <c r="F11" s="109"/>
      <c r="G11" s="109">
        <f>B11</f>
        <v>0</v>
      </c>
      <c r="H11" s="108"/>
      <c r="I11" s="108"/>
      <c r="J11" s="108"/>
      <c r="K11" s="108"/>
      <c r="L11" s="108"/>
      <c r="M11" s="108"/>
      <c r="N11" s="113">
        <f t="shared" si="0"/>
        <v>0</v>
      </c>
      <c r="O11" s="118"/>
    </row>
    <row r="12" spans="1:15" ht="20" customHeight="1" x14ac:dyDescent="0.2">
      <c r="A12" s="125" t="s">
        <v>219</v>
      </c>
      <c r="B12" s="113">
        <f>'Planilha Custos'!G26</f>
        <v>25000</v>
      </c>
      <c r="C12" s="113"/>
      <c r="D12" s="113"/>
      <c r="E12" s="109"/>
      <c r="F12" s="109"/>
      <c r="G12" s="109"/>
      <c r="H12" s="109"/>
      <c r="I12" s="109"/>
      <c r="J12" s="108"/>
      <c r="K12" s="108"/>
      <c r="L12" s="108"/>
      <c r="M12" s="108"/>
      <c r="N12" s="113">
        <f t="shared" si="0"/>
        <v>25000</v>
      </c>
      <c r="O12" s="118"/>
    </row>
    <row r="13" spans="1:15" ht="20" customHeight="1" x14ac:dyDescent="0.2">
      <c r="A13" s="125" t="s">
        <v>225</v>
      </c>
      <c r="B13" s="113">
        <f>'Planilha Custos'!G27</f>
        <v>7500</v>
      </c>
      <c r="C13" s="113"/>
      <c r="D13" s="113"/>
      <c r="E13" s="109"/>
      <c r="F13" s="109"/>
      <c r="G13" s="109"/>
      <c r="H13" s="109"/>
      <c r="I13" s="109"/>
      <c r="J13" s="108"/>
      <c r="K13" s="108"/>
      <c r="L13" s="108"/>
      <c r="M13" s="108"/>
      <c r="N13" s="113">
        <f t="shared" si="0"/>
        <v>7500</v>
      </c>
      <c r="O13" s="118"/>
    </row>
    <row r="14" spans="1:15" ht="20" customHeight="1" x14ac:dyDescent="0.2">
      <c r="A14" s="125" t="s">
        <v>220</v>
      </c>
      <c r="B14" s="113">
        <f>'Planilha Custos'!G28</f>
        <v>7500</v>
      </c>
      <c r="C14" s="113"/>
      <c r="D14" s="113"/>
      <c r="E14" s="109"/>
      <c r="F14" s="109"/>
      <c r="G14" s="109"/>
      <c r="H14" s="109"/>
      <c r="I14" s="109"/>
      <c r="J14" s="108"/>
      <c r="K14" s="108"/>
      <c r="L14" s="108"/>
      <c r="M14" s="108"/>
      <c r="N14" s="113">
        <f t="shared" si="0"/>
        <v>7500</v>
      </c>
      <c r="O14" s="118"/>
    </row>
    <row r="15" spans="1:15" ht="20" customHeight="1" x14ac:dyDescent="0.2">
      <c r="A15" s="112" t="s">
        <v>227</v>
      </c>
      <c r="B15" s="113">
        <f>'Planilha Custos'!G29</f>
        <v>7500</v>
      </c>
      <c r="C15" s="113"/>
      <c r="D15" s="113"/>
      <c r="E15" s="109"/>
      <c r="F15" s="109"/>
      <c r="G15" s="109"/>
      <c r="H15" s="109"/>
      <c r="I15" s="109"/>
      <c r="J15" s="108"/>
      <c r="K15" s="108"/>
      <c r="L15" s="108"/>
      <c r="M15" s="108"/>
      <c r="N15" s="113">
        <f t="shared" si="0"/>
        <v>7500</v>
      </c>
      <c r="O15" s="118"/>
    </row>
    <row r="16" spans="1:15" ht="20" customHeight="1" x14ac:dyDescent="0.2">
      <c r="A16" s="112" t="s">
        <v>221</v>
      </c>
      <c r="B16" s="113">
        <f>'Planilha Custos'!G31</f>
        <v>84000</v>
      </c>
      <c r="C16" s="113"/>
      <c r="D16" s="113"/>
      <c r="E16" s="109"/>
      <c r="F16" s="109"/>
      <c r="G16" s="109"/>
      <c r="H16" s="109"/>
      <c r="I16" s="109"/>
      <c r="J16" s="108"/>
      <c r="K16" s="108"/>
      <c r="L16" s="108"/>
      <c r="M16" s="108"/>
      <c r="N16" s="113">
        <f t="shared" si="0"/>
        <v>84000</v>
      </c>
      <c r="O16" s="118"/>
    </row>
    <row r="17" spans="1:15" ht="20" customHeight="1" x14ac:dyDescent="0.2">
      <c r="A17" s="112" t="s">
        <v>222</v>
      </c>
      <c r="B17" s="127">
        <v>5000</v>
      </c>
      <c r="C17" s="127"/>
      <c r="D17" s="113">
        <v>5000</v>
      </c>
      <c r="E17" s="109"/>
      <c r="F17" s="113">
        <v>5000</v>
      </c>
      <c r="G17" s="109"/>
      <c r="H17" s="113">
        <v>5000</v>
      </c>
      <c r="I17" s="109"/>
      <c r="J17" s="113">
        <v>5000</v>
      </c>
      <c r="K17" s="108"/>
      <c r="L17" s="113">
        <v>5000</v>
      </c>
      <c r="M17" s="108"/>
      <c r="N17" s="113">
        <f>SUM(B17:M17)</f>
        <v>30000</v>
      </c>
      <c r="O17" s="118"/>
    </row>
    <row r="18" spans="1:15" ht="20" customHeight="1" x14ac:dyDescent="0.2">
      <c r="A18" s="112" t="s">
        <v>223</v>
      </c>
      <c r="B18" s="60"/>
      <c r="C18" s="128"/>
      <c r="D18" s="126"/>
      <c r="E18" s="113">
        <f>'Planilha Custos'!G34/4</f>
        <v>15750</v>
      </c>
      <c r="F18" s="113"/>
      <c r="G18" s="113">
        <f>E18</f>
        <v>15750</v>
      </c>
      <c r="H18" s="113"/>
      <c r="I18" s="113">
        <f>G18</f>
        <v>15750</v>
      </c>
      <c r="J18" s="113"/>
      <c r="K18" s="113"/>
      <c r="L18" s="113">
        <f>I18</f>
        <v>15750</v>
      </c>
      <c r="M18" s="113"/>
      <c r="N18" s="113">
        <f t="shared" si="0"/>
        <v>63000</v>
      </c>
      <c r="O18" s="118"/>
    </row>
    <row r="19" spans="1:15" ht="20" customHeight="1" x14ac:dyDescent="0.2">
      <c r="A19" s="112" t="s">
        <v>224</v>
      </c>
      <c r="B19" s="127">
        <f>'Planilha Custos'!G35</f>
        <v>259730</v>
      </c>
      <c r="C19" s="113"/>
      <c r="D19" s="113"/>
      <c r="E19" s="109"/>
      <c r="F19" s="109"/>
      <c r="G19" s="109"/>
      <c r="H19" s="109"/>
      <c r="I19" s="109"/>
      <c r="J19" s="108"/>
      <c r="K19" s="108"/>
      <c r="L19" s="108"/>
      <c r="M19" s="108"/>
      <c r="N19" s="113">
        <f t="shared" si="0"/>
        <v>259730</v>
      </c>
      <c r="O19" s="118"/>
    </row>
    <row r="20" spans="1:15" ht="20" customHeight="1" x14ac:dyDescent="0.2">
      <c r="A20" s="112" t="s">
        <v>74</v>
      </c>
      <c r="B20" s="127">
        <f>'Planilha Custos'!G32</f>
        <v>375000</v>
      </c>
      <c r="C20" s="113"/>
      <c r="D20" s="113"/>
      <c r="E20" s="109"/>
      <c r="F20" s="109"/>
      <c r="G20" s="109"/>
      <c r="H20" s="109"/>
      <c r="I20" s="109"/>
      <c r="J20" s="108"/>
      <c r="K20" s="108"/>
      <c r="L20" s="108"/>
      <c r="M20" s="108"/>
      <c r="N20" s="113">
        <f t="shared" si="0"/>
        <v>375000</v>
      </c>
      <c r="O20" s="118"/>
    </row>
    <row r="21" spans="1:15" ht="20" customHeight="1" x14ac:dyDescent="0.2">
      <c r="A21" s="112" t="s">
        <v>226</v>
      </c>
      <c r="B21" s="127">
        <f>'Planilha Custos'!G30</f>
        <v>444750</v>
      </c>
      <c r="C21" s="113"/>
      <c r="D21" s="113"/>
      <c r="E21" s="109"/>
      <c r="F21" s="109"/>
      <c r="G21" s="109"/>
      <c r="H21" s="109"/>
      <c r="I21" s="109"/>
      <c r="J21" s="108"/>
      <c r="K21" s="108"/>
      <c r="L21" s="108"/>
      <c r="M21" s="108"/>
      <c r="N21" s="113">
        <f t="shared" si="0"/>
        <v>444750</v>
      </c>
      <c r="O21" s="118"/>
    </row>
    <row r="22" spans="1:15" ht="20" customHeight="1" x14ac:dyDescent="0.2">
      <c r="A22" s="112" t="str">
        <f>'Planilha Custos'!B36</f>
        <v>Cursos Preparatório para Pré-Vestibular</v>
      </c>
      <c r="B22" s="127">
        <f>'Planilha Custos'!G36</f>
        <v>444750</v>
      </c>
      <c r="C22" s="113"/>
      <c r="D22" s="113"/>
      <c r="E22" s="109"/>
      <c r="F22" s="109"/>
      <c r="G22" s="109"/>
      <c r="H22" s="109"/>
      <c r="I22" s="109"/>
      <c r="J22" s="108"/>
      <c r="K22" s="108"/>
      <c r="L22" s="108"/>
      <c r="M22" s="108"/>
      <c r="N22" s="113">
        <f t="shared" ref="N22:N46" si="2">SUM(B22:M22)</f>
        <v>444750</v>
      </c>
      <c r="O22" s="118"/>
    </row>
    <row r="23" spans="1:15" ht="20" customHeight="1" x14ac:dyDescent="0.2">
      <c r="A23" s="112" t="str">
        <f>'Planilha Custos'!B37</f>
        <v>Curso de Educação Financeira</v>
      </c>
      <c r="B23" s="113">
        <f>'Planilha Custos'!G37</f>
        <v>375000</v>
      </c>
      <c r="C23" s="113"/>
      <c r="D23" s="113"/>
      <c r="E23" s="109"/>
      <c r="F23" s="109"/>
      <c r="G23" s="109"/>
      <c r="H23" s="109"/>
      <c r="I23" s="109"/>
      <c r="J23" s="108"/>
      <c r="K23" s="108"/>
      <c r="L23" s="108"/>
      <c r="M23" s="108"/>
      <c r="N23" s="113">
        <f t="shared" si="2"/>
        <v>375000</v>
      </c>
      <c r="O23" s="118"/>
    </row>
    <row r="24" spans="1:15" ht="20" customHeight="1" x14ac:dyDescent="0.2">
      <c r="A24" s="112" t="s">
        <v>234</v>
      </c>
      <c r="B24" s="113">
        <f>('Planilha Custos'!F168)/3</f>
        <v>410949</v>
      </c>
      <c r="C24" s="113"/>
      <c r="D24" s="113"/>
      <c r="E24" s="113">
        <f>B24*2</f>
        <v>821898</v>
      </c>
      <c r="F24" s="113"/>
      <c r="G24" s="113"/>
      <c r="H24" s="113"/>
      <c r="I24" s="113"/>
      <c r="J24" s="113"/>
      <c r="K24" s="113"/>
      <c r="L24" s="113"/>
      <c r="M24" s="113"/>
      <c r="N24" s="113">
        <f t="shared" si="2"/>
        <v>1232847</v>
      </c>
      <c r="O24" s="118"/>
    </row>
    <row r="25" spans="1:15" ht="20" customHeight="1" x14ac:dyDescent="0.2">
      <c r="A25" s="112"/>
      <c r="B25" s="113"/>
      <c r="C25" s="113"/>
      <c r="D25" s="113"/>
      <c r="E25" s="109"/>
      <c r="F25" s="109"/>
      <c r="G25" s="109"/>
      <c r="H25" s="108"/>
      <c r="I25" s="108"/>
      <c r="J25" s="108"/>
      <c r="K25" s="108"/>
      <c r="L25" s="108"/>
      <c r="M25" s="108"/>
      <c r="N25" s="113">
        <f t="shared" si="2"/>
        <v>0</v>
      </c>
      <c r="O25" s="118"/>
    </row>
    <row r="26" spans="1:15" ht="20" customHeight="1" x14ac:dyDescent="0.2">
      <c r="A26" s="120" t="s">
        <v>202</v>
      </c>
      <c r="B26" s="113"/>
      <c r="C26" s="113"/>
      <c r="D26" s="113"/>
      <c r="E26" s="109"/>
      <c r="F26" s="109"/>
      <c r="G26" s="109"/>
      <c r="H26" s="108"/>
      <c r="I26" s="108"/>
      <c r="J26" s="108"/>
      <c r="K26" s="108"/>
      <c r="L26" s="108"/>
      <c r="M26" s="108"/>
      <c r="N26" s="113">
        <f t="shared" si="2"/>
        <v>0</v>
      </c>
      <c r="O26" s="118"/>
    </row>
    <row r="27" spans="1:15" ht="20" customHeight="1" x14ac:dyDescent="0.2">
      <c r="A27" s="112" t="s">
        <v>203</v>
      </c>
      <c r="B27" s="113">
        <f>'Planilha Custos'!G44</f>
        <v>613399.19999999995</v>
      </c>
      <c r="C27" s="113"/>
      <c r="D27" s="113"/>
      <c r="E27" s="109"/>
      <c r="F27" s="109"/>
      <c r="G27" s="109"/>
      <c r="H27" s="108"/>
      <c r="I27" s="108"/>
      <c r="J27" s="108"/>
      <c r="K27" s="108"/>
      <c r="L27" s="108"/>
      <c r="M27" s="108"/>
      <c r="N27" s="113">
        <f t="shared" si="2"/>
        <v>613399.19999999995</v>
      </c>
      <c r="O27" s="118"/>
    </row>
    <row r="28" spans="1:15" ht="20" customHeight="1" x14ac:dyDescent="0.2">
      <c r="A28" s="120"/>
      <c r="B28" s="113"/>
      <c r="C28" s="113"/>
      <c r="D28" s="113"/>
      <c r="E28" s="109"/>
      <c r="F28" s="109"/>
      <c r="G28" s="109"/>
      <c r="H28" s="108"/>
      <c r="I28" s="108"/>
      <c r="J28" s="108"/>
      <c r="K28" s="108"/>
      <c r="L28" s="108"/>
      <c r="M28" s="108"/>
      <c r="N28" s="113">
        <f t="shared" si="2"/>
        <v>0</v>
      </c>
      <c r="O28" s="118"/>
    </row>
    <row r="29" spans="1:15" ht="20" customHeight="1" x14ac:dyDescent="0.2">
      <c r="A29" s="120" t="s">
        <v>204</v>
      </c>
      <c r="B29" s="113"/>
      <c r="C29" s="113"/>
      <c r="D29" s="113"/>
      <c r="E29" s="109"/>
      <c r="F29" s="109"/>
      <c r="G29" s="109"/>
      <c r="H29" s="108"/>
      <c r="I29" s="108"/>
      <c r="J29" s="108"/>
      <c r="K29" s="108"/>
      <c r="L29" s="108"/>
      <c r="M29" s="108"/>
      <c r="N29" s="113">
        <f t="shared" si="2"/>
        <v>0</v>
      </c>
      <c r="O29" s="118"/>
    </row>
    <row r="30" spans="1:15" ht="20" customHeight="1" x14ac:dyDescent="0.2">
      <c r="A30" s="112" t="s">
        <v>205</v>
      </c>
      <c r="B30" s="60"/>
      <c r="C30" s="113">
        <f>'Planilha Custos'!G78</f>
        <v>287959</v>
      </c>
      <c r="D30" s="113"/>
      <c r="E30" s="109"/>
      <c r="F30" s="109"/>
      <c r="G30" s="109"/>
      <c r="H30" s="108"/>
      <c r="I30" s="108"/>
      <c r="J30" s="108"/>
      <c r="K30" s="108"/>
      <c r="L30" s="108"/>
      <c r="M30" s="108"/>
      <c r="N30" s="113">
        <f t="shared" si="2"/>
        <v>287959</v>
      </c>
      <c r="O30" s="118"/>
    </row>
    <row r="31" spans="1:15" ht="20" customHeight="1" x14ac:dyDescent="0.2">
      <c r="A31" s="112" t="s">
        <v>206</v>
      </c>
      <c r="B31" s="60"/>
      <c r="C31" s="113">
        <f>'Planilha Custos'!G95</f>
        <v>70676.550000000017</v>
      </c>
      <c r="D31" s="113"/>
      <c r="E31" s="109"/>
      <c r="F31" s="109"/>
      <c r="G31" s="109"/>
      <c r="H31" s="108"/>
      <c r="I31" s="108"/>
      <c r="J31" s="108"/>
      <c r="K31" s="108"/>
      <c r="L31" s="108"/>
      <c r="M31" s="108"/>
      <c r="N31" s="113">
        <f t="shared" si="2"/>
        <v>70676.550000000017</v>
      </c>
      <c r="O31" s="118"/>
    </row>
    <row r="32" spans="1:15" ht="20" customHeight="1" x14ac:dyDescent="0.2">
      <c r="A32" s="112" t="s">
        <v>207</v>
      </c>
      <c r="B32" s="60"/>
      <c r="C32" s="113">
        <f>'Planilha Custos'!G102</f>
        <v>267587.09999999998</v>
      </c>
      <c r="D32" s="113"/>
      <c r="E32" s="109"/>
      <c r="F32" s="109"/>
      <c r="G32" s="109"/>
      <c r="H32" s="108"/>
      <c r="I32" s="108"/>
      <c r="J32" s="108"/>
      <c r="K32" s="108"/>
      <c r="L32" s="108"/>
      <c r="M32" s="108"/>
      <c r="N32" s="113">
        <f t="shared" si="2"/>
        <v>267587.09999999998</v>
      </c>
      <c r="O32" s="118"/>
    </row>
    <row r="33" spans="1:15" ht="20" customHeight="1" x14ac:dyDescent="0.2">
      <c r="A33" s="120"/>
      <c r="B33" s="113"/>
      <c r="C33" s="113"/>
      <c r="D33" s="113"/>
      <c r="E33" s="109"/>
      <c r="F33" s="109"/>
      <c r="G33" s="109"/>
      <c r="H33" s="108"/>
      <c r="I33" s="108"/>
      <c r="J33" s="108"/>
      <c r="K33" s="108"/>
      <c r="L33" s="109"/>
      <c r="M33" s="108"/>
      <c r="N33" s="113">
        <f t="shared" si="2"/>
        <v>0</v>
      </c>
      <c r="O33" s="118"/>
    </row>
    <row r="34" spans="1:15" ht="20" customHeight="1" x14ac:dyDescent="0.2">
      <c r="A34" s="121" t="s">
        <v>59</v>
      </c>
      <c r="B34" s="113"/>
      <c r="C34" s="113"/>
      <c r="D34" s="113"/>
      <c r="E34" s="109"/>
      <c r="F34" s="109"/>
      <c r="G34" s="109"/>
      <c r="H34" s="108"/>
      <c r="I34" s="108"/>
      <c r="J34" s="108"/>
      <c r="K34" s="108"/>
      <c r="L34" s="108"/>
      <c r="M34" s="108"/>
      <c r="N34" s="113">
        <f t="shared" si="2"/>
        <v>0</v>
      </c>
      <c r="O34" s="118"/>
    </row>
    <row r="35" spans="1:15" ht="20" customHeight="1" x14ac:dyDescent="0.2">
      <c r="A35" s="114" t="s">
        <v>210</v>
      </c>
      <c r="B35" s="98"/>
      <c r="C35" s="113">
        <f>'Planilha Custos'!G107</f>
        <v>148000</v>
      </c>
      <c r="D35" s="113"/>
      <c r="E35" s="113"/>
      <c r="F35" s="113"/>
      <c r="G35" s="113"/>
      <c r="H35" s="108"/>
      <c r="I35" s="113"/>
      <c r="J35" s="113"/>
      <c r="K35" s="113"/>
      <c r="L35" s="113"/>
      <c r="M35" s="113"/>
      <c r="N35" s="113">
        <f>SUM(C35:M35)</f>
        <v>148000</v>
      </c>
      <c r="O35" s="118"/>
    </row>
    <row r="36" spans="1:15" ht="20" customHeight="1" x14ac:dyDescent="0.2">
      <c r="A36" s="114" t="s">
        <v>211</v>
      </c>
      <c r="B36" s="113">
        <f>'Planilha Custos'!G108/12</f>
        <v>6000</v>
      </c>
      <c r="C36" s="113">
        <f>B36</f>
        <v>6000</v>
      </c>
      <c r="D36" s="113">
        <f t="shared" ref="D36:M36" si="3">C36</f>
        <v>6000</v>
      </c>
      <c r="E36" s="113">
        <f t="shared" si="3"/>
        <v>6000</v>
      </c>
      <c r="F36" s="113">
        <f t="shared" si="3"/>
        <v>6000</v>
      </c>
      <c r="G36" s="113">
        <f t="shared" si="3"/>
        <v>6000</v>
      </c>
      <c r="H36" s="113">
        <f t="shared" si="3"/>
        <v>6000</v>
      </c>
      <c r="I36" s="113">
        <f t="shared" si="3"/>
        <v>6000</v>
      </c>
      <c r="J36" s="113">
        <f t="shared" si="3"/>
        <v>6000</v>
      </c>
      <c r="K36" s="113">
        <f t="shared" si="3"/>
        <v>6000</v>
      </c>
      <c r="L36" s="113">
        <f t="shared" si="3"/>
        <v>6000</v>
      </c>
      <c r="M36" s="113">
        <f t="shared" si="3"/>
        <v>6000</v>
      </c>
      <c r="N36" s="113">
        <f t="shared" si="2"/>
        <v>72000</v>
      </c>
      <c r="O36" s="118"/>
    </row>
    <row r="37" spans="1:15" ht="20" customHeight="1" x14ac:dyDescent="0.2">
      <c r="A37" s="114" t="s">
        <v>212</v>
      </c>
      <c r="B37" s="113"/>
      <c r="C37" s="113"/>
      <c r="D37" s="113"/>
      <c r="E37" s="113">
        <f>'Planilha Custos'!G109</f>
        <v>82500</v>
      </c>
      <c r="F37" s="113"/>
      <c r="G37" s="60"/>
      <c r="H37" s="142"/>
      <c r="I37" s="113"/>
      <c r="J37" s="113"/>
      <c r="K37" s="113"/>
      <c r="L37" s="113"/>
      <c r="M37" s="113"/>
      <c r="N37" s="113">
        <f t="shared" si="2"/>
        <v>82500</v>
      </c>
      <c r="O37" s="118"/>
    </row>
    <row r="38" spans="1:15" ht="20" customHeight="1" x14ac:dyDescent="0.2">
      <c r="A38" s="114" t="s">
        <v>213</v>
      </c>
      <c r="B38" s="60"/>
      <c r="C38" s="113">
        <f>'Planilha Custos'!G112+'Planilha Custos'!G113+'Planilha Custos'!G114+'Planilha Custos'!G115+'Planilha Custos'!G116+'Planilha Custos'!G117+('Planilha Custos'!G118/2)+('Planilha Custos'!G119/2)+('Planilha Custos'!G120/3)</f>
        <v>301510.40000000002</v>
      </c>
      <c r="D38" s="113"/>
      <c r="E38" s="113">
        <f>('Planilha Custos'!G110/2)+('Planilha Custos'!G111/2)</f>
        <v>17654</v>
      </c>
      <c r="F38" s="113"/>
      <c r="G38" s="113"/>
      <c r="H38" s="113">
        <f>E38+('Planilha Custos'!G119/2)+('Planilha Custos'!G118/2)+('Planilha Custos'!G120/3)</f>
        <v>218325.2</v>
      </c>
      <c r="I38" s="113"/>
      <c r="J38" s="113"/>
      <c r="K38" s="113">
        <f>'Planilha Custos'!G120/3</f>
        <v>8539.1999999999989</v>
      </c>
      <c r="L38" s="113"/>
      <c r="M38" s="113"/>
      <c r="N38" s="113">
        <f t="shared" si="2"/>
        <v>546028.80000000005</v>
      </c>
      <c r="O38" s="118"/>
    </row>
    <row r="39" spans="1:15" ht="20" customHeight="1" x14ac:dyDescent="0.2">
      <c r="A39" s="114" t="s">
        <v>208</v>
      </c>
      <c r="B39" s="60"/>
      <c r="C39" s="113">
        <f>'Planilha Custos'!G131</f>
        <v>166266.09999999998</v>
      </c>
      <c r="D39" s="113"/>
      <c r="E39" s="109"/>
      <c r="F39" s="109"/>
      <c r="G39" s="109"/>
      <c r="H39" s="108"/>
      <c r="I39" s="108"/>
      <c r="J39" s="108"/>
      <c r="K39" s="108"/>
      <c r="L39" s="108"/>
      <c r="M39" s="108"/>
      <c r="N39" s="113">
        <f t="shared" si="2"/>
        <v>166266.09999999998</v>
      </c>
      <c r="O39" s="141"/>
    </row>
    <row r="40" spans="1:15" ht="20" customHeight="1" x14ac:dyDescent="0.2">
      <c r="A40" s="114"/>
      <c r="B40" s="113"/>
      <c r="C40" s="113"/>
      <c r="D40" s="113"/>
      <c r="E40" s="109"/>
      <c r="F40" s="109"/>
      <c r="G40" s="109"/>
      <c r="H40" s="108"/>
      <c r="I40" s="108"/>
      <c r="J40" s="108"/>
      <c r="K40" s="108"/>
      <c r="L40" s="108"/>
      <c r="M40" s="108"/>
      <c r="N40" s="113">
        <f t="shared" si="2"/>
        <v>0</v>
      </c>
      <c r="O40" s="118"/>
    </row>
    <row r="41" spans="1:15" ht="20" customHeight="1" x14ac:dyDescent="0.2">
      <c r="A41" s="121" t="s">
        <v>66</v>
      </c>
      <c r="B41" s="113"/>
      <c r="C41" s="113"/>
      <c r="D41" s="113"/>
      <c r="E41" s="109"/>
      <c r="F41" s="109"/>
      <c r="G41" s="109"/>
      <c r="H41" s="108"/>
      <c r="I41" s="108"/>
      <c r="J41" s="108"/>
      <c r="K41" s="108"/>
      <c r="L41" s="108"/>
      <c r="M41" s="108"/>
      <c r="N41" s="113">
        <f t="shared" si="2"/>
        <v>0</v>
      </c>
      <c r="O41" s="118"/>
    </row>
    <row r="42" spans="1:15" ht="20" customHeight="1" x14ac:dyDescent="0.2">
      <c r="A42" s="114" t="s">
        <v>218</v>
      </c>
      <c r="B42" s="60"/>
      <c r="C42" s="113"/>
      <c r="D42" s="60"/>
      <c r="E42" s="113">
        <f>('Planilha Custos'!G135)/3</f>
        <v>62011.46</v>
      </c>
      <c r="F42" s="113"/>
      <c r="G42" s="113"/>
      <c r="H42" s="113">
        <f>E42</f>
        <v>62011.46</v>
      </c>
      <c r="I42" s="113"/>
      <c r="J42" s="113"/>
      <c r="K42" s="113">
        <f>H42</f>
        <v>62011.46</v>
      </c>
      <c r="L42" s="113"/>
      <c r="M42" s="113"/>
      <c r="N42" s="113">
        <f t="shared" si="2"/>
        <v>186034.38</v>
      </c>
      <c r="O42" s="118"/>
    </row>
    <row r="43" spans="1:15" ht="20" customHeight="1" x14ac:dyDescent="0.2">
      <c r="A43" s="114" t="s">
        <v>228</v>
      </c>
      <c r="B43" s="109">
        <f>'Planilha Custos'!G147/12</f>
        <v>40833.333333333336</v>
      </c>
      <c r="C43" s="109">
        <f>B43</f>
        <v>40833.333333333336</v>
      </c>
      <c r="D43" s="109">
        <f>C43</f>
        <v>40833.333333333336</v>
      </c>
      <c r="E43" s="109">
        <f t="shared" ref="E43:M43" si="4">D43</f>
        <v>40833.333333333336</v>
      </c>
      <c r="F43" s="109">
        <f t="shared" si="4"/>
        <v>40833.333333333336</v>
      </c>
      <c r="G43" s="109">
        <f t="shared" si="4"/>
        <v>40833.333333333336</v>
      </c>
      <c r="H43" s="109">
        <f t="shared" si="4"/>
        <v>40833.333333333336</v>
      </c>
      <c r="I43" s="109">
        <f t="shared" si="4"/>
        <v>40833.333333333336</v>
      </c>
      <c r="J43" s="109">
        <f t="shared" si="4"/>
        <v>40833.333333333336</v>
      </c>
      <c r="K43" s="109">
        <f t="shared" si="4"/>
        <v>40833.333333333336</v>
      </c>
      <c r="L43" s="109">
        <f t="shared" si="4"/>
        <v>40833.333333333336</v>
      </c>
      <c r="M43" s="109">
        <f t="shared" si="4"/>
        <v>40833.333333333336</v>
      </c>
      <c r="N43" s="113">
        <f t="shared" si="2"/>
        <v>489999.99999999994</v>
      </c>
      <c r="O43" s="118"/>
    </row>
    <row r="44" spans="1:15" ht="20" customHeight="1" x14ac:dyDescent="0.2">
      <c r="A44" s="114"/>
      <c r="B44" s="113"/>
      <c r="C44" s="113"/>
      <c r="D44" s="113"/>
      <c r="E44" s="109"/>
      <c r="F44" s="109"/>
      <c r="G44" s="109"/>
      <c r="H44" s="109"/>
      <c r="I44" s="108"/>
      <c r="J44" s="108"/>
      <c r="K44" s="108"/>
      <c r="L44" s="108"/>
      <c r="M44" s="108"/>
      <c r="N44" s="113">
        <f t="shared" si="2"/>
        <v>0</v>
      </c>
      <c r="O44" s="118"/>
    </row>
    <row r="45" spans="1:15" ht="20" customHeight="1" x14ac:dyDescent="0.2">
      <c r="A45" s="121" t="s">
        <v>152</v>
      </c>
      <c r="B45" s="113"/>
      <c r="C45" s="113"/>
      <c r="D45" s="113"/>
      <c r="E45" s="109"/>
      <c r="F45" s="109"/>
      <c r="G45" s="109"/>
      <c r="H45" s="109"/>
      <c r="I45" s="108"/>
      <c r="J45" s="108"/>
      <c r="K45" s="108"/>
      <c r="L45" s="108"/>
      <c r="M45" s="108"/>
      <c r="N45" s="113">
        <f t="shared" si="2"/>
        <v>0</v>
      </c>
      <c r="O45" s="118"/>
    </row>
    <row r="46" spans="1:15" ht="20" customHeight="1" x14ac:dyDescent="0.2">
      <c r="A46" s="114" t="s">
        <v>209</v>
      </c>
      <c r="B46" s="113">
        <f>1354874.94/12</f>
        <v>112906.245</v>
      </c>
      <c r="C46" s="113">
        <f>B46</f>
        <v>112906.245</v>
      </c>
      <c r="D46" s="113">
        <f>C46</f>
        <v>112906.245</v>
      </c>
      <c r="E46" s="113">
        <f t="shared" ref="E46:M46" si="5">D46</f>
        <v>112906.245</v>
      </c>
      <c r="F46" s="113">
        <f t="shared" si="5"/>
        <v>112906.245</v>
      </c>
      <c r="G46" s="113">
        <f t="shared" si="5"/>
        <v>112906.245</v>
      </c>
      <c r="H46" s="113">
        <f t="shared" si="5"/>
        <v>112906.245</v>
      </c>
      <c r="I46" s="113">
        <f t="shared" si="5"/>
        <v>112906.245</v>
      </c>
      <c r="J46" s="113">
        <f t="shared" si="5"/>
        <v>112906.245</v>
      </c>
      <c r="K46" s="113">
        <f t="shared" si="5"/>
        <v>112906.245</v>
      </c>
      <c r="L46" s="113">
        <f t="shared" si="5"/>
        <v>112906.245</v>
      </c>
      <c r="M46" s="113">
        <f t="shared" si="5"/>
        <v>112906.245</v>
      </c>
      <c r="N46" s="113">
        <f t="shared" si="2"/>
        <v>1354874.94</v>
      </c>
      <c r="O46" s="118"/>
    </row>
    <row r="47" spans="1:15" ht="16" x14ac:dyDescent="0.2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18"/>
    </row>
    <row r="48" spans="1:15" ht="25" customHeight="1" x14ac:dyDescent="0.2">
      <c r="A48" s="115"/>
      <c r="B48" s="116">
        <f t="shared" ref="B48:M48" si="6">SUM(B6:B47)</f>
        <v>3247155.14</v>
      </c>
      <c r="C48" s="116">
        <f t="shared" si="6"/>
        <v>1535231.105</v>
      </c>
      <c r="D48" s="116">
        <f t="shared" si="6"/>
        <v>767887.95500000007</v>
      </c>
      <c r="E48" s="116">
        <f t="shared" si="6"/>
        <v>1656546.4</v>
      </c>
      <c r="F48" s="116">
        <f t="shared" si="6"/>
        <v>192076.94</v>
      </c>
      <c r="G48" s="116">
        <f t="shared" si="6"/>
        <v>202826.94</v>
      </c>
      <c r="H48" s="116">
        <f t="shared" si="6"/>
        <v>472413.6</v>
      </c>
      <c r="I48" s="116">
        <f t="shared" si="6"/>
        <v>202826.94</v>
      </c>
      <c r="J48" s="116">
        <f t="shared" si="6"/>
        <v>192076.94</v>
      </c>
      <c r="K48" s="116">
        <f t="shared" si="6"/>
        <v>257627.6</v>
      </c>
      <c r="L48" s="116">
        <f t="shared" si="6"/>
        <v>207826.94</v>
      </c>
      <c r="M48" s="116">
        <f t="shared" si="6"/>
        <v>187076.94</v>
      </c>
      <c r="N48" s="116">
        <f>SUM(N6:N47)</f>
        <v>9121573.4399999995</v>
      </c>
      <c r="O48" s="118"/>
    </row>
    <row r="49" spans="1:16" ht="25" customHeight="1" x14ac:dyDescent="0.2">
      <c r="A49" s="60"/>
      <c r="B49" s="256">
        <f>SUM(B48:D48)</f>
        <v>5550274.2000000002</v>
      </c>
      <c r="C49" s="257"/>
      <c r="D49" s="257"/>
      <c r="E49" s="258">
        <f>SUM(E48:G48)</f>
        <v>2051450.2799999998</v>
      </c>
      <c r="F49" s="258"/>
      <c r="G49" s="258"/>
      <c r="H49" s="258">
        <f>SUM(H48:J48)</f>
        <v>867317.48</v>
      </c>
      <c r="I49" s="258"/>
      <c r="J49" s="258"/>
      <c r="K49" s="258">
        <f>SUM(K48:M48)</f>
        <v>652531.48</v>
      </c>
      <c r="L49" s="258"/>
      <c r="M49" s="258"/>
      <c r="N49" s="124"/>
      <c r="O49" s="118"/>
    </row>
    <row r="50" spans="1:16" ht="25" customHeight="1" x14ac:dyDescent="0.2">
      <c r="A50" s="60"/>
      <c r="B50" s="260" t="s">
        <v>214</v>
      </c>
      <c r="C50" s="260"/>
      <c r="D50" s="260"/>
      <c r="E50" s="260" t="s">
        <v>215</v>
      </c>
      <c r="F50" s="260"/>
      <c r="G50" s="260"/>
      <c r="H50" s="260" t="s">
        <v>216</v>
      </c>
      <c r="I50" s="260"/>
      <c r="J50" s="260"/>
      <c r="K50" s="260" t="s">
        <v>217</v>
      </c>
      <c r="L50" s="260"/>
      <c r="M50" s="260"/>
      <c r="N50" s="141"/>
      <c r="O50" s="118"/>
      <c r="P50" s="138"/>
    </row>
    <row r="51" spans="1:16" ht="25" customHeight="1" x14ac:dyDescent="0.2">
      <c r="A51" s="60"/>
      <c r="B51" s="261" t="s">
        <v>258</v>
      </c>
      <c r="C51" s="262"/>
      <c r="D51" s="205"/>
      <c r="E51" s="261" t="s">
        <v>259</v>
      </c>
      <c r="F51" s="262"/>
      <c r="G51" s="205"/>
      <c r="H51" s="261" t="s">
        <v>260</v>
      </c>
      <c r="I51" s="262"/>
      <c r="J51" s="205"/>
      <c r="K51" s="261" t="s">
        <v>261</v>
      </c>
      <c r="L51" s="262"/>
      <c r="M51" s="205"/>
      <c r="N51" s="141"/>
      <c r="O51" s="118"/>
      <c r="P51" s="138"/>
    </row>
    <row r="52" spans="1:16" ht="25" customHeight="1" x14ac:dyDescent="0.2">
      <c r="A52" s="60"/>
      <c r="B52" s="259">
        <f>B49/N48</f>
        <v>0.60847771894933078</v>
      </c>
      <c r="C52" s="259"/>
      <c r="D52" s="259"/>
      <c r="E52" s="259">
        <f>E49/N48</f>
        <v>0.22490092235665868</v>
      </c>
      <c r="F52" s="259"/>
      <c r="G52" s="259"/>
      <c r="H52" s="259">
        <f>H49/N48</f>
        <v>9.5084196351106723E-2</v>
      </c>
      <c r="I52" s="259"/>
      <c r="J52" s="259"/>
      <c r="K52" s="259">
        <f>K49/N48</f>
        <v>7.1537162342903859E-2</v>
      </c>
      <c r="L52" s="259"/>
      <c r="M52" s="259"/>
      <c r="N52" s="123">
        <f>SUM(B52:M52)</f>
        <v>1</v>
      </c>
      <c r="O52" s="118"/>
    </row>
    <row r="53" spans="1:16" ht="25" customHeight="1" x14ac:dyDescent="0.2">
      <c r="A53" s="60"/>
      <c r="B53" s="259">
        <f>(B49+E49)/N48</f>
        <v>0.83337864130598949</v>
      </c>
      <c r="C53" s="259"/>
      <c r="D53" s="259"/>
      <c r="E53" s="259"/>
      <c r="F53" s="259"/>
      <c r="G53" s="259"/>
      <c r="H53" s="259">
        <f>(H49+K49)/N48</f>
        <v>0.1666213586940106</v>
      </c>
      <c r="I53" s="259"/>
      <c r="J53" s="259"/>
      <c r="K53" s="259"/>
      <c r="L53" s="259"/>
      <c r="M53" s="259"/>
      <c r="N53" s="118"/>
      <c r="O53" s="118"/>
    </row>
    <row r="54" spans="1:16" ht="16" x14ac:dyDescent="0.2">
      <c r="A54" s="60"/>
      <c r="B54" s="60"/>
      <c r="C54" s="124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18"/>
      <c r="O54" s="118"/>
    </row>
    <row r="55" spans="1:16" ht="16" x14ac:dyDescent="0.2">
      <c r="A55" s="60"/>
      <c r="B55" s="60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18"/>
      <c r="O55" s="118"/>
    </row>
    <row r="56" spans="1:16" ht="16" x14ac:dyDescent="0.2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</row>
  </sheetData>
  <mergeCells count="19">
    <mergeCell ref="B53:G53"/>
    <mergeCell ref="H53:M53"/>
    <mergeCell ref="B50:D50"/>
    <mergeCell ref="E50:G50"/>
    <mergeCell ref="H50:J50"/>
    <mergeCell ref="K50:M50"/>
    <mergeCell ref="B52:D52"/>
    <mergeCell ref="E52:G52"/>
    <mergeCell ref="H52:J52"/>
    <mergeCell ref="K52:M52"/>
    <mergeCell ref="B51:D51"/>
    <mergeCell ref="E51:G51"/>
    <mergeCell ref="H51:J51"/>
    <mergeCell ref="K51:M51"/>
    <mergeCell ref="A2:N2"/>
    <mergeCell ref="B49:D49"/>
    <mergeCell ref="E49:G49"/>
    <mergeCell ref="H49:J49"/>
    <mergeCell ref="K49:M49"/>
  </mergeCells>
  <pageMargins left="0.7" right="0.7" top="0.75" bottom="0.75" header="0.3" footer="0.3"/>
  <pageSetup paperSize="9" scale="42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9E97-F7A0-B641-B6B2-75E4DDD6BA70}">
  <dimension ref="B6:D19"/>
  <sheetViews>
    <sheetView topLeftCell="A3" workbookViewId="0">
      <selection activeCell="G20" sqref="G20"/>
    </sheetView>
  </sheetViews>
  <sheetFormatPr baseColWidth="10" defaultRowHeight="15" x14ac:dyDescent="0.2"/>
  <cols>
    <col min="3" max="3" width="46.33203125" customWidth="1"/>
    <col min="4" max="4" width="17.1640625" customWidth="1"/>
  </cols>
  <sheetData>
    <row r="6" spans="2:4" ht="34" customHeight="1" x14ac:dyDescent="0.2">
      <c r="B6" s="320" t="s">
        <v>265</v>
      </c>
      <c r="C6" s="320" t="s">
        <v>266</v>
      </c>
      <c r="D6" s="320" t="s">
        <v>268</v>
      </c>
    </row>
    <row r="7" spans="2:4" ht="25" customHeight="1" x14ac:dyDescent="0.2">
      <c r="B7" s="321">
        <v>1</v>
      </c>
      <c r="C7" s="322" t="s">
        <v>19</v>
      </c>
      <c r="D7" s="323">
        <v>1</v>
      </c>
    </row>
    <row r="8" spans="2:4" ht="25" customHeight="1" x14ac:dyDescent="0.2">
      <c r="B8" s="321">
        <v>2</v>
      </c>
      <c r="C8" s="322" t="s">
        <v>20</v>
      </c>
      <c r="D8" s="323">
        <v>1</v>
      </c>
    </row>
    <row r="9" spans="2:4" ht="25" customHeight="1" x14ac:dyDescent="0.2">
      <c r="B9" s="321">
        <v>3</v>
      </c>
      <c r="C9" s="322" t="s">
        <v>21</v>
      </c>
      <c r="D9" s="323">
        <v>1</v>
      </c>
    </row>
    <row r="10" spans="2:4" ht="25" customHeight="1" x14ac:dyDescent="0.2">
      <c r="B10" s="321">
        <v>4</v>
      </c>
      <c r="C10" s="322" t="s">
        <v>34</v>
      </c>
      <c r="D10" s="323">
        <v>1</v>
      </c>
    </row>
    <row r="11" spans="2:4" ht="25" customHeight="1" x14ac:dyDescent="0.2">
      <c r="B11" s="321"/>
      <c r="C11" s="320" t="s">
        <v>267</v>
      </c>
      <c r="D11" s="321"/>
    </row>
    <row r="12" spans="2:4" ht="25" customHeight="1" x14ac:dyDescent="0.2">
      <c r="B12" s="321">
        <v>5</v>
      </c>
      <c r="C12" s="322" t="s">
        <v>21</v>
      </c>
      <c r="D12" s="323">
        <v>3</v>
      </c>
    </row>
    <row r="13" spans="2:4" ht="25" customHeight="1" x14ac:dyDescent="0.2">
      <c r="B13" s="321">
        <v>6</v>
      </c>
      <c r="C13" s="322" t="s">
        <v>22</v>
      </c>
      <c r="D13" s="323">
        <v>2</v>
      </c>
    </row>
    <row r="14" spans="2:4" ht="25" customHeight="1" x14ac:dyDescent="0.2">
      <c r="B14" s="321">
        <v>7</v>
      </c>
      <c r="C14" s="322" t="s">
        <v>23</v>
      </c>
      <c r="D14" s="323">
        <v>2</v>
      </c>
    </row>
    <row r="15" spans="2:4" ht="25" customHeight="1" x14ac:dyDescent="0.2">
      <c r="B15" s="321">
        <v>8</v>
      </c>
      <c r="C15" s="322" t="s">
        <v>24</v>
      </c>
      <c r="D15" s="323">
        <v>2</v>
      </c>
    </row>
    <row r="16" spans="2:4" ht="25" customHeight="1" x14ac:dyDescent="0.2">
      <c r="B16" s="321">
        <v>9</v>
      </c>
      <c r="C16" s="322" t="s">
        <v>25</v>
      </c>
      <c r="D16" s="323">
        <v>2</v>
      </c>
    </row>
    <row r="17" spans="2:4" ht="25" customHeight="1" x14ac:dyDescent="0.2">
      <c r="B17" s="321">
        <v>10</v>
      </c>
      <c r="C17" s="322" t="s">
        <v>26</v>
      </c>
      <c r="D17" s="323">
        <v>2</v>
      </c>
    </row>
    <row r="18" spans="2:4" ht="25" customHeight="1" x14ac:dyDescent="0.2">
      <c r="B18" s="321">
        <v>11</v>
      </c>
      <c r="C18" s="322" t="s">
        <v>255</v>
      </c>
      <c r="D18" s="323">
        <v>10</v>
      </c>
    </row>
    <row r="19" spans="2:4" ht="25" customHeight="1" x14ac:dyDescent="0.2">
      <c r="B19" s="321"/>
      <c r="C19" s="320" t="s">
        <v>200</v>
      </c>
      <c r="D19" s="320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DDE2-7F89-7C4C-9CBE-E4DB883CBF05}">
  <sheetPr>
    <pageSetUpPr fitToPage="1"/>
  </sheetPr>
  <dimension ref="A1:L17"/>
  <sheetViews>
    <sheetView zoomScale="85" zoomScaleNormal="85" workbookViewId="0">
      <selection activeCell="O8" sqref="O8"/>
    </sheetView>
  </sheetViews>
  <sheetFormatPr baseColWidth="10" defaultColWidth="7.5" defaultRowHeight="13" x14ac:dyDescent="0.2"/>
  <cols>
    <col min="1" max="1" width="7.83203125" style="107" customWidth="1"/>
    <col min="2" max="2" width="38.5" style="107" customWidth="1"/>
    <col min="3" max="3" width="23" style="107" customWidth="1"/>
    <col min="4" max="4" width="13.6640625" style="107" customWidth="1"/>
    <col min="5" max="5" width="14.1640625" style="107" customWidth="1"/>
    <col min="6" max="6" width="16.5" style="107" customWidth="1"/>
    <col min="7" max="7" width="15.83203125" style="107" customWidth="1"/>
    <col min="8" max="8" width="16.33203125" style="107" customWidth="1"/>
    <col min="9" max="9" width="15.6640625" style="107" customWidth="1"/>
    <col min="10" max="10" width="36.5" style="107" customWidth="1"/>
    <col min="11" max="11" width="14.6640625" style="107" customWidth="1"/>
    <col min="12" max="12" width="15.6640625" style="107" customWidth="1"/>
    <col min="13" max="16384" width="7.5" style="107"/>
  </cols>
  <sheetData>
    <row r="1" spans="1:12" ht="55" customHeight="1" x14ac:dyDescent="0.2"/>
    <row r="2" spans="1:12" ht="67" customHeight="1" x14ac:dyDescent="0.2">
      <c r="A2" s="150" t="s">
        <v>229</v>
      </c>
      <c r="B2" s="160" t="s">
        <v>230</v>
      </c>
      <c r="C2" s="150" t="s">
        <v>231</v>
      </c>
      <c r="D2" s="149" t="s">
        <v>232</v>
      </c>
      <c r="E2" s="149" t="s">
        <v>155</v>
      </c>
      <c r="F2" s="149" t="s">
        <v>156</v>
      </c>
      <c r="G2" s="149" t="s">
        <v>157</v>
      </c>
      <c r="H2" s="149" t="s">
        <v>48</v>
      </c>
      <c r="I2" s="149" t="s">
        <v>158</v>
      </c>
      <c r="J2" s="150" t="s">
        <v>159</v>
      </c>
      <c r="K2" s="150" t="s">
        <v>160</v>
      </c>
      <c r="L2" s="150" t="s">
        <v>161</v>
      </c>
    </row>
    <row r="3" spans="1:12" ht="30" customHeight="1" x14ac:dyDescent="0.2">
      <c r="A3" s="143">
        <v>1</v>
      </c>
      <c r="B3" s="161" t="s">
        <v>250</v>
      </c>
      <c r="C3" s="143" t="s">
        <v>253</v>
      </c>
      <c r="D3" s="151">
        <v>709</v>
      </c>
      <c r="E3" s="267">
        <v>1</v>
      </c>
      <c r="F3" s="267">
        <v>4</v>
      </c>
      <c r="G3" s="267">
        <v>1</v>
      </c>
      <c r="H3" s="267">
        <v>1</v>
      </c>
      <c r="I3" s="267">
        <v>0</v>
      </c>
      <c r="J3" s="157"/>
      <c r="K3" s="157"/>
      <c r="L3" s="158"/>
    </row>
    <row r="4" spans="1:12" ht="30" customHeight="1" x14ac:dyDescent="0.2">
      <c r="A4" s="143">
        <v>2</v>
      </c>
      <c r="B4" s="161" t="s">
        <v>251</v>
      </c>
      <c r="C4" s="143" t="s">
        <v>253</v>
      </c>
      <c r="D4" s="151">
        <v>868</v>
      </c>
      <c r="E4" s="267">
        <v>1</v>
      </c>
      <c r="F4" s="267">
        <v>4</v>
      </c>
      <c r="G4" s="267">
        <v>1</v>
      </c>
      <c r="H4" s="267">
        <v>1</v>
      </c>
      <c r="I4" s="267">
        <v>0</v>
      </c>
      <c r="J4" s="157"/>
      <c r="K4" s="157"/>
      <c r="L4" s="158"/>
    </row>
    <row r="5" spans="1:12" ht="30" customHeight="1" x14ac:dyDescent="0.2">
      <c r="A5" s="143">
        <v>3</v>
      </c>
      <c r="B5" s="161" t="s">
        <v>252</v>
      </c>
      <c r="C5" s="143" t="s">
        <v>253</v>
      </c>
      <c r="D5" s="151">
        <v>883</v>
      </c>
      <c r="E5" s="267">
        <v>1</v>
      </c>
      <c r="F5" s="267">
        <v>4</v>
      </c>
      <c r="G5" s="267">
        <v>1</v>
      </c>
      <c r="H5" s="267">
        <v>1</v>
      </c>
      <c r="I5" s="267">
        <v>0</v>
      </c>
      <c r="J5" s="157"/>
      <c r="K5" s="157"/>
      <c r="L5" s="158"/>
    </row>
    <row r="6" spans="1:12" ht="35" customHeight="1" x14ac:dyDescent="0.2">
      <c r="A6" s="143">
        <v>4</v>
      </c>
      <c r="B6" s="162" t="s">
        <v>182</v>
      </c>
      <c r="C6" s="143" t="s">
        <v>163</v>
      </c>
      <c r="D6" s="152">
        <v>360</v>
      </c>
      <c r="E6" s="147">
        <v>1</v>
      </c>
      <c r="F6" s="147">
        <v>4</v>
      </c>
      <c r="G6" s="147">
        <v>1</v>
      </c>
      <c r="H6" s="147">
        <v>1</v>
      </c>
      <c r="I6" s="147">
        <v>0</v>
      </c>
      <c r="J6" s="143" t="s">
        <v>183</v>
      </c>
      <c r="K6" s="143" t="s">
        <v>165</v>
      </c>
      <c r="L6" s="148" t="s">
        <v>165</v>
      </c>
    </row>
    <row r="7" spans="1:12" ht="35" customHeight="1" x14ac:dyDescent="0.2">
      <c r="A7" s="159">
        <v>5</v>
      </c>
      <c r="B7" s="163" t="s">
        <v>162</v>
      </c>
      <c r="C7" s="144" t="s">
        <v>163</v>
      </c>
      <c r="D7" s="153">
        <v>761</v>
      </c>
      <c r="E7" s="145">
        <v>1</v>
      </c>
      <c r="F7" s="145">
        <v>4</v>
      </c>
      <c r="G7" s="145">
        <v>1</v>
      </c>
      <c r="H7" s="145">
        <v>1</v>
      </c>
      <c r="I7" s="145">
        <v>0</v>
      </c>
      <c r="J7" s="144" t="s">
        <v>164</v>
      </c>
      <c r="K7" s="144" t="s">
        <v>165</v>
      </c>
      <c r="L7" s="146" t="s">
        <v>165</v>
      </c>
    </row>
    <row r="8" spans="1:12" ht="35" customHeight="1" x14ac:dyDescent="0.2">
      <c r="A8" s="159">
        <v>6</v>
      </c>
      <c r="B8" s="162" t="s">
        <v>168</v>
      </c>
      <c r="C8" s="143" t="s">
        <v>163</v>
      </c>
      <c r="D8" s="152">
        <v>441</v>
      </c>
      <c r="E8" s="147">
        <v>1</v>
      </c>
      <c r="F8" s="147">
        <v>4</v>
      </c>
      <c r="G8" s="147">
        <v>1</v>
      </c>
      <c r="H8" s="147">
        <v>1</v>
      </c>
      <c r="I8" s="147">
        <v>0</v>
      </c>
      <c r="J8" s="143" t="s">
        <v>169</v>
      </c>
      <c r="K8" s="143" t="s">
        <v>165</v>
      </c>
      <c r="L8" s="148" t="s">
        <v>165</v>
      </c>
    </row>
    <row r="9" spans="1:12" ht="35" customHeight="1" x14ac:dyDescent="0.2">
      <c r="A9" s="159">
        <v>7</v>
      </c>
      <c r="B9" s="162" t="s">
        <v>174</v>
      </c>
      <c r="C9" s="143" t="s">
        <v>163</v>
      </c>
      <c r="D9" s="152">
        <v>440</v>
      </c>
      <c r="E9" s="147">
        <v>1</v>
      </c>
      <c r="F9" s="147">
        <v>4</v>
      </c>
      <c r="G9" s="147">
        <v>1</v>
      </c>
      <c r="H9" s="147">
        <v>1</v>
      </c>
      <c r="I9" s="147">
        <v>0</v>
      </c>
      <c r="J9" s="143" t="s">
        <v>175</v>
      </c>
      <c r="K9" s="143" t="s">
        <v>165</v>
      </c>
      <c r="L9" s="148" t="s">
        <v>165</v>
      </c>
    </row>
    <row r="10" spans="1:12" ht="35" customHeight="1" x14ac:dyDescent="0.2">
      <c r="A10" s="159">
        <v>8</v>
      </c>
      <c r="B10" s="162" t="s">
        <v>170</v>
      </c>
      <c r="C10" s="143" t="s">
        <v>163</v>
      </c>
      <c r="D10" s="152">
        <v>397</v>
      </c>
      <c r="E10" s="147">
        <v>1</v>
      </c>
      <c r="F10" s="147">
        <v>4</v>
      </c>
      <c r="G10" s="147">
        <v>1</v>
      </c>
      <c r="H10" s="147">
        <v>1</v>
      </c>
      <c r="I10" s="147">
        <v>0</v>
      </c>
      <c r="J10" s="143" t="s">
        <v>171</v>
      </c>
      <c r="K10" s="143" t="s">
        <v>165</v>
      </c>
      <c r="L10" s="148" t="s">
        <v>165</v>
      </c>
    </row>
    <row r="11" spans="1:12" ht="35" customHeight="1" x14ac:dyDescent="0.2">
      <c r="A11" s="159">
        <v>9</v>
      </c>
      <c r="B11" s="162" t="s">
        <v>172</v>
      </c>
      <c r="C11" s="143" t="s">
        <v>163</v>
      </c>
      <c r="D11" s="152">
        <v>430</v>
      </c>
      <c r="E11" s="147">
        <v>1</v>
      </c>
      <c r="F11" s="147">
        <v>4</v>
      </c>
      <c r="G11" s="147">
        <v>1</v>
      </c>
      <c r="H11" s="147">
        <v>1</v>
      </c>
      <c r="I11" s="147">
        <v>0</v>
      </c>
      <c r="J11" s="143" t="s">
        <v>173</v>
      </c>
      <c r="K11" s="143" t="s">
        <v>165</v>
      </c>
      <c r="L11" s="148" t="s">
        <v>165</v>
      </c>
    </row>
    <row r="12" spans="1:12" ht="35" customHeight="1" x14ac:dyDescent="0.2">
      <c r="A12" s="159">
        <v>10</v>
      </c>
      <c r="B12" s="162" t="s">
        <v>184</v>
      </c>
      <c r="C12" s="143" t="s">
        <v>163</v>
      </c>
      <c r="D12" s="152">
        <v>172</v>
      </c>
      <c r="E12" s="147">
        <v>1</v>
      </c>
      <c r="F12" s="147">
        <v>4</v>
      </c>
      <c r="G12" s="147">
        <v>1</v>
      </c>
      <c r="H12" s="147">
        <v>1</v>
      </c>
      <c r="I12" s="147">
        <v>0</v>
      </c>
      <c r="J12" s="143" t="s">
        <v>185</v>
      </c>
      <c r="K12" s="143" t="s">
        <v>165</v>
      </c>
      <c r="L12" s="148" t="s">
        <v>165</v>
      </c>
    </row>
    <row r="13" spans="1:12" ht="35" customHeight="1" x14ac:dyDescent="0.2">
      <c r="A13" s="159">
        <v>11</v>
      </c>
      <c r="B13" s="162" t="s">
        <v>176</v>
      </c>
      <c r="C13" s="143" t="s">
        <v>163</v>
      </c>
      <c r="D13" s="152">
        <v>327</v>
      </c>
      <c r="E13" s="147">
        <v>1</v>
      </c>
      <c r="F13" s="147">
        <v>4</v>
      </c>
      <c r="G13" s="147">
        <v>1</v>
      </c>
      <c r="H13" s="147">
        <v>1</v>
      </c>
      <c r="I13" s="147">
        <v>0</v>
      </c>
      <c r="J13" s="143" t="s">
        <v>177</v>
      </c>
      <c r="K13" s="143" t="s">
        <v>165</v>
      </c>
      <c r="L13" s="148" t="s">
        <v>165</v>
      </c>
    </row>
    <row r="14" spans="1:12" ht="35" customHeight="1" x14ac:dyDescent="0.2">
      <c r="A14" s="159">
        <v>12</v>
      </c>
      <c r="B14" s="162" t="s">
        <v>178</v>
      </c>
      <c r="C14" s="143" t="s">
        <v>163</v>
      </c>
      <c r="D14" s="152">
        <v>538</v>
      </c>
      <c r="E14" s="147">
        <v>1</v>
      </c>
      <c r="F14" s="147">
        <v>4</v>
      </c>
      <c r="G14" s="147">
        <v>1</v>
      </c>
      <c r="H14" s="147">
        <v>2</v>
      </c>
      <c r="I14" s="147">
        <v>0</v>
      </c>
      <c r="J14" s="143" t="s">
        <v>179</v>
      </c>
      <c r="K14" s="143" t="s">
        <v>165</v>
      </c>
      <c r="L14" s="148" t="s">
        <v>165</v>
      </c>
    </row>
    <row r="15" spans="1:12" ht="35" customHeight="1" x14ac:dyDescent="0.2">
      <c r="A15" s="159">
        <v>13</v>
      </c>
      <c r="B15" s="162" t="s">
        <v>166</v>
      </c>
      <c r="C15" s="143" t="s">
        <v>163</v>
      </c>
      <c r="D15" s="152">
        <v>381</v>
      </c>
      <c r="E15" s="147">
        <v>1</v>
      </c>
      <c r="F15" s="147">
        <v>4</v>
      </c>
      <c r="G15" s="147">
        <v>1</v>
      </c>
      <c r="H15" s="147">
        <v>1</v>
      </c>
      <c r="I15" s="147">
        <v>0</v>
      </c>
      <c r="J15" s="143" t="s">
        <v>167</v>
      </c>
      <c r="K15" s="143" t="s">
        <v>165</v>
      </c>
      <c r="L15" s="148" t="s">
        <v>165</v>
      </c>
    </row>
    <row r="16" spans="1:12" ht="35" customHeight="1" x14ac:dyDescent="0.2">
      <c r="A16" s="159">
        <v>14</v>
      </c>
      <c r="B16" s="162" t="s">
        <v>180</v>
      </c>
      <c r="C16" s="143" t="s">
        <v>163</v>
      </c>
      <c r="D16" s="152">
        <v>409</v>
      </c>
      <c r="E16" s="147">
        <v>1</v>
      </c>
      <c r="F16" s="147">
        <v>4</v>
      </c>
      <c r="G16" s="147">
        <v>1</v>
      </c>
      <c r="H16" s="147">
        <v>2</v>
      </c>
      <c r="I16" s="147">
        <v>0</v>
      </c>
      <c r="J16" s="143" t="s">
        <v>181</v>
      </c>
      <c r="K16" s="143" t="s">
        <v>165</v>
      </c>
      <c r="L16" s="148" t="s">
        <v>165</v>
      </c>
    </row>
    <row r="17" spans="1:12" ht="33" customHeight="1" x14ac:dyDescent="0.2">
      <c r="A17" s="165" t="s">
        <v>233</v>
      </c>
      <c r="B17" s="164"/>
      <c r="C17" s="154"/>
      <c r="D17" s="155">
        <f>SUM(D3:D16)</f>
        <v>7116</v>
      </c>
      <c r="E17" s="155">
        <f t="shared" ref="E17:I17" si="0">SUM(E3:E16)</f>
        <v>14</v>
      </c>
      <c r="F17" s="155">
        <f t="shared" si="0"/>
        <v>56</v>
      </c>
      <c r="G17" s="155">
        <f t="shared" si="0"/>
        <v>14</v>
      </c>
      <c r="H17" s="155">
        <f t="shared" si="0"/>
        <v>16</v>
      </c>
      <c r="I17" s="155">
        <f t="shared" si="0"/>
        <v>0</v>
      </c>
      <c r="J17" s="154"/>
      <c r="K17" s="154"/>
      <c r="L17" s="156"/>
    </row>
  </sheetData>
  <pageMargins left="0.7" right="0.7" top="0.75" bottom="0.75" header="0.3" footer="0.3"/>
  <pageSetup paperSize="9" scale="4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Planilha Custos</vt:lpstr>
      <vt:lpstr>Cronograma</vt:lpstr>
      <vt:lpstr>RH - Equipe Técnica</vt:lpstr>
      <vt:lpstr>Escolas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Emerson</cp:lastModifiedBy>
  <cp:lastPrinted>2025-04-09T00:17:25Z</cp:lastPrinted>
  <dcterms:created xsi:type="dcterms:W3CDTF">2022-08-22T20:39:05Z</dcterms:created>
  <dcterms:modified xsi:type="dcterms:W3CDTF">2025-05-09T20:53:45Z</dcterms:modified>
</cp:coreProperties>
</file>
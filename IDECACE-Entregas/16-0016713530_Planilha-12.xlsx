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Vanus\Downloads\DOCSPROC PAGTO FASE 1 DNA DO BRASIL\"/>
    </mc:Choice>
  </mc:AlternateContent>
  <xr:revisionPtr revIDLastSave="0" documentId="13_ncr:1_{1EE889B6-DA18-4DBA-90BE-11ED3F9D05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Print_Area" localSheetId="0">Plan1!$A$1:$H$56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D24" i="1"/>
  <c r="D19" i="1" l="1"/>
  <c r="E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3" i="1"/>
  <c r="D22" i="1"/>
  <c r="D21" i="1"/>
  <c r="D20" i="1"/>
  <c r="D17" i="1"/>
  <c r="D16" i="1"/>
  <c r="D15" i="1"/>
  <c r="D14" i="1"/>
  <c r="D13" i="1"/>
  <c r="D1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<sst xmlns="http://schemas.openxmlformats.org/spreadsheetml/2006/main" count="133" uniqueCount="46">
  <si>
    <t>UNID.</t>
  </si>
  <si>
    <t>Bola Ofic 500 – Futsal</t>
  </si>
  <si>
    <t>Bola Ofic 200 – Futsal</t>
  </si>
  <si>
    <t>Bola de Hand Adulto H3L, adulto Masculino</t>
  </si>
  <si>
    <t>Bola de Hand Infantil h11</t>
  </si>
  <si>
    <t xml:space="preserve">Bola de Voleibol </t>
  </si>
  <si>
    <t>Bola de Volei Infantil TIPO 7.0</t>
  </si>
  <si>
    <t>Par de Rede</t>
  </si>
  <si>
    <t>Par de Rede gol fut e handbol</t>
  </si>
  <si>
    <t>Rede de Volei Ofic</t>
  </si>
  <si>
    <t>Cone de plást chinês</t>
  </si>
  <si>
    <t>Cone para treino</t>
  </si>
  <si>
    <t>Bomba para encher bola</t>
  </si>
  <si>
    <t>Apito Prof bocal de Silic</t>
  </si>
  <si>
    <t>Redeguarda bolas</t>
  </si>
  <si>
    <t>Corda de Pular</t>
  </si>
  <si>
    <t>Peteca ofic</t>
  </si>
  <si>
    <t>JG de Colete</t>
  </si>
  <si>
    <t>Cron digital</t>
  </si>
  <si>
    <t>Kit de agilidade</t>
  </si>
  <si>
    <t>Escada de agilidade</t>
  </si>
  <si>
    <t>Tabul Xadrez</t>
  </si>
  <si>
    <t>Tabul de dama</t>
  </si>
  <si>
    <t>Placar</t>
  </si>
  <si>
    <t>Par Poste de Vôlei Oficial</t>
  </si>
  <si>
    <t>Colchão para ginástica</t>
  </si>
  <si>
    <t>Arco Bambolê</t>
  </si>
  <si>
    <t>Tablet</t>
  </si>
  <si>
    <t>Trena de Fita</t>
  </si>
  <si>
    <t>Trena de Fita de 05 mtQTD</t>
  </si>
  <si>
    <t>Colch unissex</t>
  </si>
  <si>
    <t>Fita MT Corp</t>
  </si>
  <si>
    <t>Cronô digital prof</t>
  </si>
  <si>
    <t>Apito prof bocal</t>
  </si>
  <si>
    <t>KIT de Cones Agil</t>
  </si>
  <si>
    <t>Banco de Wells Port Matér Prima</t>
  </si>
  <si>
    <t>Estadiômetro Prof Port</t>
  </si>
  <si>
    <t>Balança Evol prof</t>
  </si>
  <si>
    <t>Dinamômetro Manual Prof</t>
  </si>
  <si>
    <t>Prancheta MDF A5</t>
  </si>
  <si>
    <t>Oxímetro de dedo</t>
  </si>
  <si>
    <t>Lapís</t>
  </si>
  <si>
    <t>Chaveiro</t>
  </si>
  <si>
    <t>Camisa Personalizada Alunos</t>
  </si>
  <si>
    <t>Camisa Personalizada Professor</t>
  </si>
  <si>
    <t>TODAS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</si>
</sst>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8" fontId="3" fillId="0" borderId="1" xfId="0" applyNumberFormat="1" applyFont="1" applyBorder="1" applyAlignment="1">
      <alignment horizontal="center" vertical="center" wrapText="1"/>
    </xf>
    <xf numFmtId="8" fontId="3" fillId="0" borderId="2" xfId="0" applyNumberFormat="1" applyFont="1" applyBorder="1" applyAlignment="1">
      <alignment horizontal="center" vertical="center" wrapText="1"/>
    </xf>
    <xf numFmtId="8" fontId="2" fillId="0" borderId="2" xfId="0" applyNumberFormat="1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8" fontId="3" fillId="0" borderId="4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4" borderId="6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0" fontId="7" fillId="4" borderId="8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view="pageBreakPreview" topLeftCell="A4" zoomScaleNormal="100" zoomScaleSheetLayoutView="100" workbookViewId="0">
      <selection activeCell="A6" sqref="A6:K11"/>
    </sheetView>
  </sheetViews>
  <sheetFormatPr defaultColWidth="23.109375" defaultRowHeight="14.4" x14ac:dyDescent="0.3"/>
  <cols>
    <col min="1" max="1" width="99.33203125" style="2" customWidth="1"/>
    <col min="2" max="2" width="7.44140625" style="2" customWidth="1"/>
    <col min="3" max="3" width="13.88671875" style="2" customWidth="1"/>
    <col min="4" max="4" width="13.6640625" style="2" bestFit="1" customWidth="1"/>
    <col min="5" max="5" width="17.33203125" style="2" customWidth="1"/>
    <col min="6" max="6" width="20.21875" style="2" customWidth="1"/>
    <col min="7" max="7" width="7.5546875" style="2" customWidth="1"/>
    <col min="8" max="8" width="21.6640625" style="1" customWidth="1"/>
    <col min="9" max="16384" width="23.109375" style="2"/>
  </cols>
  <sheetData>
    <row r="1" spans="1:11" ht="15" customHeight="1" x14ac:dyDescent="0.3">
      <c r="A1" s="19"/>
      <c r="B1" s="19"/>
      <c r="C1" s="19"/>
      <c r="D1" s="19"/>
      <c r="E1" s="19"/>
      <c r="F1" s="19"/>
      <c r="G1" s="19"/>
      <c r="H1" s="19"/>
    </row>
    <row r="2" spans="1:11" ht="15" customHeight="1" x14ac:dyDescent="0.3">
      <c r="A2" s="16"/>
      <c r="B2" s="16"/>
      <c r="C2" s="16"/>
      <c r="D2" s="16"/>
      <c r="E2" s="16"/>
      <c r="F2" s="16"/>
      <c r="G2" s="16"/>
      <c r="H2" s="16"/>
    </row>
    <row r="3" spans="1:11" ht="15" customHeight="1" x14ac:dyDescent="0.3">
      <c r="A3" s="17"/>
      <c r="B3" s="17"/>
      <c r="C3" s="17"/>
      <c r="D3" s="17"/>
      <c r="E3" s="17"/>
      <c r="F3" s="17"/>
      <c r="G3" s="17"/>
      <c r="H3" s="17"/>
    </row>
    <row r="4" spans="1:11" ht="73.5" customHeight="1" x14ac:dyDescent="0.3">
      <c r="A4" s="18"/>
      <c r="B4" s="18"/>
      <c r="C4" s="18"/>
      <c r="D4" s="18"/>
      <c r="E4" s="18"/>
      <c r="F4" s="18"/>
      <c r="G4" s="18"/>
      <c r="H4" s="18"/>
    </row>
    <row r="5" spans="1:11" ht="15" customHeight="1" x14ac:dyDescent="0.3">
      <c r="A5" s="20"/>
      <c r="B5" s="20"/>
      <c r="C5" s="20"/>
      <c r="D5" s="20"/>
      <c r="E5" s="20"/>
      <c r="F5" s="20"/>
      <c r="G5" s="20"/>
      <c r="H5" s="20"/>
    </row>
    <row r="6" spans="1:11" ht="104.4" customHeight="1" x14ac:dyDescent="0.3">
      <c r="A6" s="21" t="e" vm="1">
        <v>#VALUE!</v>
      </c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1" ht="14.4" customHeight="1" x14ac:dyDescent="0.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</row>
    <row r="8" spans="1:11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11" x14ac:dyDescent="0.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</row>
    <row r="10" spans="1:11" x14ac:dyDescent="0.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</row>
    <row r="11" spans="1:11" x14ac:dyDescent="0.3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</row>
    <row r="12" spans="1:11" x14ac:dyDescent="0.3">
      <c r="A12" s="12" t="s">
        <v>1</v>
      </c>
      <c r="B12" s="4" t="s">
        <v>0</v>
      </c>
      <c r="C12" s="9">
        <v>78</v>
      </c>
      <c r="D12" s="5">
        <f t="shared" ref="D12:D17" si="0">E12/C12</f>
        <v>149.9</v>
      </c>
      <c r="E12" s="6">
        <v>11692.2</v>
      </c>
      <c r="F12" s="8">
        <v>0</v>
      </c>
      <c r="G12" s="3">
        <v>5</v>
      </c>
      <c r="H12" s="8" t="s">
        <v>45</v>
      </c>
    </row>
    <row r="13" spans="1:11" x14ac:dyDescent="0.3">
      <c r="A13" s="12" t="s">
        <v>2</v>
      </c>
      <c r="B13" s="4" t="s">
        <v>0</v>
      </c>
      <c r="C13" s="9">
        <v>78</v>
      </c>
      <c r="D13" s="5">
        <f t="shared" si="0"/>
        <v>149.9</v>
      </c>
      <c r="E13" s="6">
        <v>11692.2</v>
      </c>
      <c r="F13" s="8">
        <v>0</v>
      </c>
      <c r="G13" s="3">
        <v>5</v>
      </c>
      <c r="H13" s="8" t="s">
        <v>45</v>
      </c>
    </row>
    <row r="14" spans="1:11" x14ac:dyDescent="0.3">
      <c r="A14" s="12" t="s">
        <v>3</v>
      </c>
      <c r="B14" s="4" t="s">
        <v>0</v>
      </c>
      <c r="C14" s="9">
        <v>78</v>
      </c>
      <c r="D14" s="5">
        <f t="shared" si="0"/>
        <v>189.9</v>
      </c>
      <c r="E14" s="6">
        <v>14812.2</v>
      </c>
      <c r="F14" s="8">
        <v>0</v>
      </c>
      <c r="G14" s="3">
        <v>5</v>
      </c>
      <c r="H14" s="8" t="s">
        <v>45</v>
      </c>
    </row>
    <row r="15" spans="1:11" x14ac:dyDescent="0.3">
      <c r="A15" s="12" t="s">
        <v>4</v>
      </c>
      <c r="B15" s="4" t="s">
        <v>0</v>
      </c>
      <c r="C15" s="9">
        <v>78</v>
      </c>
      <c r="D15" s="5">
        <f t="shared" si="0"/>
        <v>189.9</v>
      </c>
      <c r="E15" s="6">
        <v>14812.2</v>
      </c>
      <c r="F15" s="8">
        <v>0</v>
      </c>
      <c r="G15" s="3">
        <v>5</v>
      </c>
      <c r="H15" s="8" t="s">
        <v>45</v>
      </c>
    </row>
    <row r="16" spans="1:11" x14ac:dyDescent="0.3">
      <c r="A16" s="12" t="s">
        <v>5</v>
      </c>
      <c r="B16" s="4" t="s">
        <v>0</v>
      </c>
      <c r="C16" s="9">
        <v>78</v>
      </c>
      <c r="D16" s="5">
        <f t="shared" si="0"/>
        <v>189.9</v>
      </c>
      <c r="E16" s="6">
        <v>14812.2</v>
      </c>
      <c r="F16" s="8">
        <v>0</v>
      </c>
      <c r="G16" s="3">
        <v>5</v>
      </c>
      <c r="H16" s="8" t="s">
        <v>45</v>
      </c>
    </row>
    <row r="17" spans="1:8" x14ac:dyDescent="0.3">
      <c r="A17" s="12" t="s">
        <v>6</v>
      </c>
      <c r="B17" s="4" t="s">
        <v>0</v>
      </c>
      <c r="C17" s="9">
        <v>78</v>
      </c>
      <c r="D17" s="4">
        <f t="shared" si="0"/>
        <v>189.9</v>
      </c>
      <c r="E17" s="6">
        <v>14812.2</v>
      </c>
      <c r="F17" s="8">
        <v>0</v>
      </c>
      <c r="G17" s="3">
        <v>5</v>
      </c>
      <c r="H17" s="8" t="s">
        <v>45</v>
      </c>
    </row>
    <row r="18" spans="1:8" x14ac:dyDescent="0.3">
      <c r="A18" s="12" t="s">
        <v>7</v>
      </c>
      <c r="B18" s="4" t="s">
        <v>0</v>
      </c>
      <c r="C18" s="9">
        <v>26</v>
      </c>
      <c r="D18" s="5">
        <v>69.900000000000006</v>
      </c>
      <c r="E18" s="6">
        <f>C18*D18</f>
        <v>1817.4</v>
      </c>
      <c r="F18" s="8">
        <v>0</v>
      </c>
      <c r="G18" s="3">
        <v>5</v>
      </c>
      <c r="H18" s="8" t="s">
        <v>45</v>
      </c>
    </row>
    <row r="19" spans="1:8" x14ac:dyDescent="0.3">
      <c r="A19" s="12" t="s">
        <v>8</v>
      </c>
      <c r="B19" s="4" t="s">
        <v>0</v>
      </c>
      <c r="C19" s="9">
        <v>26</v>
      </c>
      <c r="D19" s="5">
        <f t="shared" ref="D19:D55" si="1">E19/C19</f>
        <v>269.89999999999998</v>
      </c>
      <c r="E19" s="6">
        <v>7017.4</v>
      </c>
      <c r="F19" s="8">
        <v>0</v>
      </c>
      <c r="G19" s="3">
        <v>5</v>
      </c>
      <c r="H19" s="8" t="s">
        <v>45</v>
      </c>
    </row>
    <row r="20" spans="1:8" x14ac:dyDescent="0.3">
      <c r="A20" s="12" t="s">
        <v>9</v>
      </c>
      <c r="B20" s="4" t="s">
        <v>0</v>
      </c>
      <c r="C20" s="9">
        <v>26</v>
      </c>
      <c r="D20" s="5">
        <f t="shared" si="1"/>
        <v>299.89999999999998</v>
      </c>
      <c r="E20" s="6">
        <v>7797.4</v>
      </c>
      <c r="F20" s="8">
        <v>0</v>
      </c>
      <c r="G20" s="3">
        <v>5</v>
      </c>
      <c r="H20" s="8" t="s">
        <v>45</v>
      </c>
    </row>
    <row r="21" spans="1:8" x14ac:dyDescent="0.3">
      <c r="A21" s="12" t="s">
        <v>10</v>
      </c>
      <c r="B21" s="4" t="s">
        <v>0</v>
      </c>
      <c r="C21" s="9">
        <v>78</v>
      </c>
      <c r="D21" s="5">
        <f t="shared" si="1"/>
        <v>9.9</v>
      </c>
      <c r="E21" s="6">
        <v>772.2</v>
      </c>
      <c r="F21" s="8">
        <v>0</v>
      </c>
      <c r="G21" s="3">
        <v>5</v>
      </c>
      <c r="H21" s="8" t="s">
        <v>45</v>
      </c>
    </row>
    <row r="22" spans="1:8" x14ac:dyDescent="0.3">
      <c r="A22" s="12" t="s">
        <v>11</v>
      </c>
      <c r="B22" s="4" t="s">
        <v>0</v>
      </c>
      <c r="C22" s="9">
        <v>78</v>
      </c>
      <c r="D22" s="5">
        <f t="shared" si="1"/>
        <v>12.9</v>
      </c>
      <c r="E22" s="6">
        <v>1006.2</v>
      </c>
      <c r="F22" s="8">
        <v>0</v>
      </c>
      <c r="G22" s="3">
        <v>5</v>
      </c>
      <c r="H22" s="8" t="s">
        <v>45</v>
      </c>
    </row>
    <row r="23" spans="1:8" x14ac:dyDescent="0.3">
      <c r="A23" s="12" t="s">
        <v>12</v>
      </c>
      <c r="B23" s="4" t="s">
        <v>0</v>
      </c>
      <c r="C23" s="9">
        <v>39</v>
      </c>
      <c r="D23" s="5">
        <f t="shared" si="1"/>
        <v>59.9</v>
      </c>
      <c r="E23" s="6">
        <v>2336.1</v>
      </c>
      <c r="F23" s="8">
        <v>0</v>
      </c>
      <c r="G23" s="3">
        <v>5</v>
      </c>
      <c r="H23" s="8" t="s">
        <v>45</v>
      </c>
    </row>
    <row r="24" spans="1:8" x14ac:dyDescent="0.3">
      <c r="A24" s="12" t="s">
        <v>13</v>
      </c>
      <c r="B24" s="4" t="s">
        <v>0</v>
      </c>
      <c r="C24" s="9">
        <v>84</v>
      </c>
      <c r="D24" s="5">
        <f t="shared" si="1"/>
        <v>27.764285714285712</v>
      </c>
      <c r="E24" s="6">
        <v>2332.1999999999998</v>
      </c>
      <c r="F24" s="8">
        <v>0</v>
      </c>
      <c r="G24" s="3">
        <v>5</v>
      </c>
      <c r="H24" s="8" t="s">
        <v>45</v>
      </c>
    </row>
    <row r="25" spans="1:8" x14ac:dyDescent="0.3">
      <c r="A25" s="12" t="s">
        <v>14</v>
      </c>
      <c r="B25" s="4" t="s">
        <v>0</v>
      </c>
      <c r="C25" s="9">
        <v>39</v>
      </c>
      <c r="D25" s="5">
        <f t="shared" si="1"/>
        <v>59.9</v>
      </c>
      <c r="E25" s="6">
        <v>2336.1</v>
      </c>
      <c r="F25" s="8">
        <v>0</v>
      </c>
      <c r="G25" s="3">
        <v>5</v>
      </c>
      <c r="H25" s="8" t="s">
        <v>45</v>
      </c>
    </row>
    <row r="26" spans="1:8" x14ac:dyDescent="0.3">
      <c r="A26" s="12" t="s">
        <v>15</v>
      </c>
      <c r="B26" s="4" t="s">
        <v>0</v>
      </c>
      <c r="C26" s="9">
        <v>78</v>
      </c>
      <c r="D26" s="5">
        <f t="shared" si="1"/>
        <v>39.9</v>
      </c>
      <c r="E26" s="6">
        <v>3112.2</v>
      </c>
      <c r="F26" s="8">
        <v>0</v>
      </c>
      <c r="G26" s="3">
        <v>5</v>
      </c>
      <c r="H26" s="8" t="s">
        <v>45</v>
      </c>
    </row>
    <row r="27" spans="1:8" x14ac:dyDescent="0.3">
      <c r="A27" s="12" t="s">
        <v>16</v>
      </c>
      <c r="B27" s="4" t="s">
        <v>0</v>
      </c>
      <c r="C27" s="9">
        <v>78</v>
      </c>
      <c r="D27" s="5">
        <f t="shared" si="1"/>
        <v>29.9</v>
      </c>
      <c r="E27" s="6">
        <v>2332.1999999999998</v>
      </c>
      <c r="F27" s="8">
        <v>0</v>
      </c>
      <c r="G27" s="3">
        <v>5</v>
      </c>
      <c r="H27" s="8" t="s">
        <v>45</v>
      </c>
    </row>
    <row r="28" spans="1:8" x14ac:dyDescent="0.3">
      <c r="A28" s="12" t="s">
        <v>17</v>
      </c>
      <c r="B28" s="4" t="s">
        <v>0</v>
      </c>
      <c r="C28" s="9">
        <v>78</v>
      </c>
      <c r="D28" s="5">
        <f t="shared" si="1"/>
        <v>479.9</v>
      </c>
      <c r="E28" s="6">
        <v>37432.199999999997</v>
      </c>
      <c r="F28" s="8">
        <v>0</v>
      </c>
      <c r="G28" s="3">
        <v>5</v>
      </c>
      <c r="H28" s="8" t="s">
        <v>45</v>
      </c>
    </row>
    <row r="29" spans="1:8" x14ac:dyDescent="0.3">
      <c r="A29" s="12" t="s">
        <v>18</v>
      </c>
      <c r="B29" s="4" t="s">
        <v>0</v>
      </c>
      <c r="C29" s="9">
        <v>39</v>
      </c>
      <c r="D29" s="5">
        <f t="shared" si="1"/>
        <v>129.9</v>
      </c>
      <c r="E29" s="6">
        <v>5066.1000000000004</v>
      </c>
      <c r="F29" s="8">
        <v>0</v>
      </c>
      <c r="G29" s="3">
        <v>5</v>
      </c>
      <c r="H29" s="8" t="s">
        <v>45</v>
      </c>
    </row>
    <row r="30" spans="1:8" x14ac:dyDescent="0.3">
      <c r="A30" s="12" t="s">
        <v>19</v>
      </c>
      <c r="B30" s="4" t="s">
        <v>0</v>
      </c>
      <c r="C30" s="9">
        <v>26</v>
      </c>
      <c r="D30" s="5">
        <f t="shared" si="1"/>
        <v>599</v>
      </c>
      <c r="E30" s="6">
        <v>15574</v>
      </c>
      <c r="F30" s="8">
        <v>0</v>
      </c>
      <c r="G30" s="3">
        <v>5</v>
      </c>
      <c r="H30" s="8" t="s">
        <v>45</v>
      </c>
    </row>
    <row r="31" spans="1:8" x14ac:dyDescent="0.3">
      <c r="A31" s="12" t="s">
        <v>20</v>
      </c>
      <c r="B31" s="4" t="s">
        <v>0</v>
      </c>
      <c r="C31" s="9">
        <v>26</v>
      </c>
      <c r="D31" s="5">
        <f t="shared" si="1"/>
        <v>149.9</v>
      </c>
      <c r="E31" s="6">
        <v>3897.4</v>
      </c>
      <c r="F31" s="8">
        <v>0</v>
      </c>
      <c r="G31" s="3">
        <v>5</v>
      </c>
      <c r="H31" s="8" t="s">
        <v>45</v>
      </c>
    </row>
    <row r="32" spans="1:8" x14ac:dyDescent="0.3">
      <c r="A32" s="12" t="s">
        <v>21</v>
      </c>
      <c r="B32" s="4" t="s">
        <v>0</v>
      </c>
      <c r="C32" s="9">
        <v>52</v>
      </c>
      <c r="D32" s="5">
        <f t="shared" si="1"/>
        <v>89.9</v>
      </c>
      <c r="E32" s="6">
        <v>4674.8</v>
      </c>
      <c r="F32" s="8">
        <v>0</v>
      </c>
      <c r="G32" s="3">
        <v>5</v>
      </c>
      <c r="H32" s="8" t="s">
        <v>45</v>
      </c>
    </row>
    <row r="33" spans="1:8" x14ac:dyDescent="0.3">
      <c r="A33" s="12" t="s">
        <v>22</v>
      </c>
      <c r="B33" s="4" t="s">
        <v>0</v>
      </c>
      <c r="C33" s="9">
        <v>52</v>
      </c>
      <c r="D33" s="5">
        <f t="shared" si="1"/>
        <v>79.900000000000006</v>
      </c>
      <c r="E33" s="6">
        <v>4154.8</v>
      </c>
      <c r="F33" s="8">
        <v>0</v>
      </c>
      <c r="G33" s="3">
        <v>5</v>
      </c>
      <c r="H33" s="8" t="s">
        <v>45</v>
      </c>
    </row>
    <row r="34" spans="1:8" x14ac:dyDescent="0.3">
      <c r="A34" s="12" t="s">
        <v>23</v>
      </c>
      <c r="B34" s="4" t="s">
        <v>0</v>
      </c>
      <c r="C34" s="9">
        <v>13</v>
      </c>
      <c r="D34" s="5">
        <f t="shared" si="1"/>
        <v>295</v>
      </c>
      <c r="E34" s="6">
        <v>3835</v>
      </c>
      <c r="F34" s="8">
        <v>0</v>
      </c>
      <c r="G34" s="3">
        <v>5</v>
      </c>
      <c r="H34" s="8" t="s">
        <v>45</v>
      </c>
    </row>
    <row r="35" spans="1:8" x14ac:dyDescent="0.3">
      <c r="A35" s="12" t="s">
        <v>24</v>
      </c>
      <c r="B35" s="4" t="s">
        <v>0</v>
      </c>
      <c r="C35" s="9">
        <v>13</v>
      </c>
      <c r="D35" s="5">
        <f t="shared" si="1"/>
        <v>3990</v>
      </c>
      <c r="E35" s="6">
        <v>51870</v>
      </c>
      <c r="F35" s="8">
        <v>0</v>
      </c>
      <c r="G35" s="3">
        <v>5</v>
      </c>
      <c r="H35" s="8" t="s">
        <v>45</v>
      </c>
    </row>
    <row r="36" spans="1:8" x14ac:dyDescent="0.3">
      <c r="A36" s="12" t="s">
        <v>25</v>
      </c>
      <c r="B36" s="4" t="s">
        <v>0</v>
      </c>
      <c r="C36" s="9">
        <v>78</v>
      </c>
      <c r="D36" s="5">
        <f t="shared" si="1"/>
        <v>69.899999999999991</v>
      </c>
      <c r="E36" s="6">
        <v>5452.2</v>
      </c>
      <c r="F36" s="8">
        <v>0</v>
      </c>
      <c r="G36" s="3">
        <v>5</v>
      </c>
      <c r="H36" s="8" t="s">
        <v>45</v>
      </c>
    </row>
    <row r="37" spans="1:8" x14ac:dyDescent="0.3">
      <c r="A37" s="12" t="s">
        <v>26</v>
      </c>
      <c r="B37" s="4" t="s">
        <v>0</v>
      </c>
      <c r="C37" s="9">
        <v>130</v>
      </c>
      <c r="D37" s="5">
        <f t="shared" si="1"/>
        <v>12.9</v>
      </c>
      <c r="E37" s="6">
        <v>1677</v>
      </c>
      <c r="F37" s="8">
        <v>0</v>
      </c>
      <c r="G37" s="3">
        <v>5</v>
      </c>
      <c r="H37" s="8" t="s">
        <v>45</v>
      </c>
    </row>
    <row r="38" spans="1:8" x14ac:dyDescent="0.3">
      <c r="A38" s="12" t="s">
        <v>27</v>
      </c>
      <c r="B38" s="4" t="s">
        <v>0</v>
      </c>
      <c r="C38" s="9">
        <v>15</v>
      </c>
      <c r="D38" s="5">
        <f t="shared" si="1"/>
        <v>1133.6699999999998</v>
      </c>
      <c r="E38" s="6">
        <v>17005.05</v>
      </c>
      <c r="F38" s="8">
        <v>0</v>
      </c>
      <c r="G38" s="3">
        <v>5</v>
      </c>
      <c r="H38" s="8" t="s">
        <v>45</v>
      </c>
    </row>
    <row r="39" spans="1:8" x14ac:dyDescent="0.3">
      <c r="A39" s="12" t="s">
        <v>28</v>
      </c>
      <c r="B39" s="4" t="s">
        <v>0</v>
      </c>
      <c r="C39" s="9">
        <v>12</v>
      </c>
      <c r="D39" s="5">
        <f t="shared" si="1"/>
        <v>79.899999999999991</v>
      </c>
      <c r="E39" s="6">
        <v>958.8</v>
      </c>
      <c r="F39" s="8">
        <v>0</v>
      </c>
      <c r="G39" s="3">
        <v>5</v>
      </c>
      <c r="H39" s="8" t="s">
        <v>45</v>
      </c>
    </row>
    <row r="40" spans="1:8" x14ac:dyDescent="0.3">
      <c r="A40" s="12" t="s">
        <v>29</v>
      </c>
      <c r="B40" s="4" t="s">
        <v>0</v>
      </c>
      <c r="C40" s="9">
        <v>12</v>
      </c>
      <c r="D40" s="5">
        <f t="shared" si="1"/>
        <v>29.900000000000002</v>
      </c>
      <c r="E40" s="6">
        <v>358.8</v>
      </c>
      <c r="F40" s="8">
        <v>0</v>
      </c>
      <c r="G40" s="3">
        <v>5</v>
      </c>
      <c r="H40" s="8" t="s">
        <v>45</v>
      </c>
    </row>
    <row r="41" spans="1:8" x14ac:dyDescent="0.3">
      <c r="A41" s="12" t="s">
        <v>30</v>
      </c>
      <c r="B41" s="4" t="s">
        <v>0</v>
      </c>
      <c r="C41" s="9">
        <v>12</v>
      </c>
      <c r="D41" s="5">
        <f t="shared" si="1"/>
        <v>69.899999999999991</v>
      </c>
      <c r="E41" s="6">
        <v>838.8</v>
      </c>
      <c r="F41" s="8">
        <v>0</v>
      </c>
      <c r="G41" s="3">
        <v>5</v>
      </c>
      <c r="H41" s="8" t="s">
        <v>45</v>
      </c>
    </row>
    <row r="42" spans="1:8" x14ac:dyDescent="0.3">
      <c r="A42" s="12" t="s">
        <v>31</v>
      </c>
      <c r="B42" s="4" t="s">
        <v>0</v>
      </c>
      <c r="C42" s="9">
        <v>12</v>
      </c>
      <c r="D42" s="5">
        <f t="shared" si="1"/>
        <v>39.9</v>
      </c>
      <c r="E42" s="6">
        <v>478.8</v>
      </c>
      <c r="F42" s="8">
        <v>0</v>
      </c>
      <c r="G42" s="3">
        <v>5</v>
      </c>
      <c r="H42" s="8" t="s">
        <v>45</v>
      </c>
    </row>
    <row r="43" spans="1:8" x14ac:dyDescent="0.3">
      <c r="A43" s="12" t="s">
        <v>32</v>
      </c>
      <c r="B43" s="4" t="s">
        <v>0</v>
      </c>
      <c r="C43" s="9">
        <v>18</v>
      </c>
      <c r="D43" s="5">
        <f t="shared" si="1"/>
        <v>129.89999999999998</v>
      </c>
      <c r="E43" s="6">
        <v>2338.1999999999998</v>
      </c>
      <c r="F43" s="8">
        <v>0</v>
      </c>
      <c r="G43" s="3">
        <v>5</v>
      </c>
      <c r="H43" s="8" t="s">
        <v>45</v>
      </c>
    </row>
    <row r="44" spans="1:8" x14ac:dyDescent="0.3">
      <c r="A44" s="12" t="s">
        <v>33</v>
      </c>
      <c r="B44" s="4" t="s">
        <v>0</v>
      </c>
      <c r="C44" s="9">
        <v>30</v>
      </c>
      <c r="D44" s="5">
        <f t="shared" si="1"/>
        <v>29.9</v>
      </c>
      <c r="E44" s="6">
        <v>897</v>
      </c>
      <c r="F44" s="8">
        <v>0</v>
      </c>
      <c r="G44" s="3">
        <v>5</v>
      </c>
      <c r="H44" s="8" t="s">
        <v>45</v>
      </c>
    </row>
    <row r="45" spans="1:8" x14ac:dyDescent="0.3">
      <c r="A45" s="12" t="s">
        <v>34</v>
      </c>
      <c r="B45" s="4" t="s">
        <v>0</v>
      </c>
      <c r="C45" s="9">
        <v>18</v>
      </c>
      <c r="D45" s="5">
        <f t="shared" si="1"/>
        <v>77.400000000000006</v>
      </c>
      <c r="E45" s="6">
        <v>1393.2</v>
      </c>
      <c r="F45" s="8">
        <v>0</v>
      </c>
      <c r="G45" s="3">
        <v>5</v>
      </c>
      <c r="H45" s="8" t="s">
        <v>45</v>
      </c>
    </row>
    <row r="46" spans="1:8" x14ac:dyDescent="0.3">
      <c r="A46" s="12" t="s">
        <v>35</v>
      </c>
      <c r="B46" s="4" t="s">
        <v>0</v>
      </c>
      <c r="C46" s="9">
        <v>9</v>
      </c>
      <c r="D46" s="5">
        <f t="shared" si="1"/>
        <v>1099</v>
      </c>
      <c r="E46" s="6">
        <v>9891</v>
      </c>
      <c r="F46" s="8">
        <v>0</v>
      </c>
      <c r="G46" s="3">
        <v>5</v>
      </c>
      <c r="H46" s="8" t="s">
        <v>45</v>
      </c>
    </row>
    <row r="47" spans="1:8" x14ac:dyDescent="0.3">
      <c r="A47" s="12" t="s">
        <v>36</v>
      </c>
      <c r="B47" s="4" t="s">
        <v>0</v>
      </c>
      <c r="C47" s="9">
        <v>9</v>
      </c>
      <c r="D47" s="5">
        <f t="shared" si="1"/>
        <v>1099</v>
      </c>
      <c r="E47" s="6">
        <v>9891</v>
      </c>
      <c r="F47" s="8">
        <v>0</v>
      </c>
      <c r="G47" s="3">
        <v>5</v>
      </c>
      <c r="H47" s="8" t="s">
        <v>45</v>
      </c>
    </row>
    <row r="48" spans="1:8" x14ac:dyDescent="0.3">
      <c r="A48" s="13" t="s">
        <v>37</v>
      </c>
      <c r="B48" s="4" t="s">
        <v>0</v>
      </c>
      <c r="C48" s="10">
        <v>9</v>
      </c>
      <c r="D48" s="11">
        <f t="shared" si="1"/>
        <v>199.89999999999998</v>
      </c>
      <c r="E48" s="6">
        <v>1799.1</v>
      </c>
      <c r="F48" s="8">
        <v>0</v>
      </c>
      <c r="G48" s="3">
        <v>5</v>
      </c>
      <c r="H48" s="8" t="s">
        <v>45</v>
      </c>
    </row>
    <row r="49" spans="1:8" x14ac:dyDescent="0.3">
      <c r="A49" s="13" t="s">
        <v>38</v>
      </c>
      <c r="B49" s="4" t="s">
        <v>0</v>
      </c>
      <c r="C49" s="10">
        <v>9</v>
      </c>
      <c r="D49" s="11">
        <f t="shared" si="1"/>
        <v>2499</v>
      </c>
      <c r="E49" s="6">
        <v>22491</v>
      </c>
      <c r="F49" s="8">
        <v>0</v>
      </c>
      <c r="G49" s="3">
        <v>5</v>
      </c>
      <c r="H49" s="8" t="s">
        <v>45</v>
      </c>
    </row>
    <row r="50" spans="1:8" x14ac:dyDescent="0.3">
      <c r="A50" s="13" t="s">
        <v>39</v>
      </c>
      <c r="B50" s="4" t="s">
        <v>0</v>
      </c>
      <c r="C50" s="10">
        <v>45</v>
      </c>
      <c r="D50" s="11">
        <f t="shared" si="1"/>
        <v>19.899999999999999</v>
      </c>
      <c r="E50" s="6">
        <v>895.5</v>
      </c>
      <c r="F50" s="8">
        <v>0</v>
      </c>
      <c r="G50" s="3">
        <v>5</v>
      </c>
      <c r="H50" s="8" t="s">
        <v>45</v>
      </c>
    </row>
    <row r="51" spans="1:8" x14ac:dyDescent="0.3">
      <c r="A51" s="13" t="s">
        <v>40</v>
      </c>
      <c r="B51" s="4" t="s">
        <v>0</v>
      </c>
      <c r="C51" s="10">
        <v>9</v>
      </c>
      <c r="D51" s="11">
        <f t="shared" si="1"/>
        <v>199.89999999999998</v>
      </c>
      <c r="E51" s="6">
        <v>1799.1</v>
      </c>
      <c r="F51" s="8">
        <v>0</v>
      </c>
      <c r="G51" s="3">
        <v>5</v>
      </c>
      <c r="H51" s="8" t="s">
        <v>45</v>
      </c>
    </row>
    <row r="52" spans="1:8" x14ac:dyDescent="0.3">
      <c r="A52" s="13" t="s">
        <v>41</v>
      </c>
      <c r="B52" s="4" t="s">
        <v>0</v>
      </c>
      <c r="C52" s="10">
        <v>7004</v>
      </c>
      <c r="D52" s="11">
        <f t="shared" si="1"/>
        <v>2.1999999999999997</v>
      </c>
      <c r="E52" s="6">
        <v>15408.8</v>
      </c>
      <c r="F52" s="8">
        <v>0</v>
      </c>
      <c r="G52" s="3">
        <v>5</v>
      </c>
      <c r="H52" s="8" t="s">
        <v>45</v>
      </c>
    </row>
    <row r="53" spans="1:8" x14ac:dyDescent="0.3">
      <c r="A53" s="13" t="s">
        <v>42</v>
      </c>
      <c r="B53" s="4" t="s">
        <v>0</v>
      </c>
      <c r="C53" s="10">
        <v>7004</v>
      </c>
      <c r="D53" s="11">
        <f t="shared" si="1"/>
        <v>4.5</v>
      </c>
      <c r="E53" s="6">
        <v>31518</v>
      </c>
      <c r="F53" s="8">
        <v>0</v>
      </c>
      <c r="G53" s="3">
        <v>5</v>
      </c>
      <c r="H53" s="8" t="s">
        <v>45</v>
      </c>
    </row>
    <row r="54" spans="1:8" x14ac:dyDescent="0.3">
      <c r="A54" s="13" t="s">
        <v>43</v>
      </c>
      <c r="B54" s="4" t="s">
        <v>0</v>
      </c>
      <c r="C54" s="10">
        <v>7004</v>
      </c>
      <c r="D54" s="11">
        <f t="shared" si="1"/>
        <v>29.900000000000002</v>
      </c>
      <c r="E54" s="6">
        <v>209419.6</v>
      </c>
      <c r="F54" s="8">
        <v>0</v>
      </c>
      <c r="G54" s="3">
        <v>5</v>
      </c>
      <c r="H54" s="8" t="s">
        <v>45</v>
      </c>
    </row>
    <row r="55" spans="1:8" x14ac:dyDescent="0.3">
      <c r="A55" s="13" t="s">
        <v>44</v>
      </c>
      <c r="B55" s="4" t="s">
        <v>0</v>
      </c>
      <c r="C55" s="10">
        <v>120</v>
      </c>
      <c r="D55" s="11">
        <f t="shared" si="1"/>
        <v>52.9</v>
      </c>
      <c r="E55" s="6">
        <v>6348</v>
      </c>
      <c r="F55" s="8">
        <v>0</v>
      </c>
      <c r="G55" s="3">
        <v>5</v>
      </c>
      <c r="H55" s="8" t="s">
        <v>45</v>
      </c>
    </row>
    <row r="56" spans="1:8" x14ac:dyDescent="0.3">
      <c r="A56" s="14"/>
      <c r="B56" s="14"/>
      <c r="C56" s="14"/>
      <c r="D56" s="15"/>
      <c r="E56" s="7">
        <f>SUM(E10:E55)</f>
        <v>580855.84999999986</v>
      </c>
      <c r="F56" s="8">
        <v>0</v>
      </c>
      <c r="G56" s="3">
        <v>5</v>
      </c>
      <c r="H56" s="8" t="s">
        <v>45</v>
      </c>
    </row>
  </sheetData>
  <mergeCells count="7">
    <mergeCell ref="A2:H2"/>
    <mergeCell ref="A3:H3"/>
    <mergeCell ref="A4:H4"/>
    <mergeCell ref="A1:H1"/>
    <mergeCell ref="A5:H5"/>
    <mergeCell ref="A6:K11"/>
    <mergeCell ref="A56:D56"/>
  </mergeCells>
  <pageMargins left="0.11811023622047245" right="0.11811023622047245" top="0.39370078740157483" bottom="0.39370078740157483" header="0.31496062992125984" footer="0.31496062992125984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Leite Amancio de Souza</dc:creator>
  <cp:lastModifiedBy>Vanuscka Maia</cp:lastModifiedBy>
  <cp:lastPrinted>2025-07-29T17:06:32Z</cp:lastPrinted>
  <dcterms:created xsi:type="dcterms:W3CDTF">2024-12-09T16:41:49Z</dcterms:created>
  <dcterms:modified xsi:type="dcterms:W3CDTF">2025-08-07T00:54:37Z</dcterms:modified>
</cp:coreProperties>
</file>